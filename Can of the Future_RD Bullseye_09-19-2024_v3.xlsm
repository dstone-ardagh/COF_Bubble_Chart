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rdagh-my.sharepoint.com/personal/david_stone_ardaghgroup_com/Documents/Documents/"/>
    </mc:Choice>
  </mc:AlternateContent>
  <xr:revisionPtr revIDLastSave="1187" documentId="8_{688E718D-1AC2-4B9A-BDD2-C477F66A4EE0}" xr6:coauthVersionLast="47" xr6:coauthVersionMax="47" xr10:uidLastSave="{77478EA1-C310-416D-AEA0-A10F92C3FAA3}"/>
  <bookViews>
    <workbookView xWindow="-120" yWindow="-120" windowWidth="29040" windowHeight="15720" activeTab="1" xr2:uid="{00000000-000D-0000-FFFF-FFFF00000000}"/>
  </bookViews>
  <sheets>
    <sheet name="Instructions" sheetId="10" r:id="rId1"/>
    <sheet name="xyplot" sheetId="8" r:id="rId2"/>
    <sheet name="Project Descriptions" sheetId="9" r:id="rId3"/>
    <sheet name="Setup" sheetId="7" r:id="rId4"/>
  </sheets>
  <definedNames>
    <definedName name="Active_Working">Setup!$F$2:$F$3</definedName>
    <definedName name="LW_percent">xyplot!$B$4</definedName>
    <definedName name="Readiness" localSheetId="3">xyplot!$E1</definedName>
    <definedName name="Stage_Gate_Status">Setup!$D$2:$D$8</definedName>
    <definedName name="stretch">xyplot!$F$49</definedName>
    <definedName name="Use_Case">Setup!$B$2:$B$7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0" i="8" l="1"/>
  <c r="L40" i="8" s="1"/>
  <c r="M40" i="8"/>
  <c r="K40" i="8" l="1"/>
  <c r="J8" i="8" l="1"/>
  <c r="L8" i="8" s="1"/>
  <c r="J10" i="8"/>
  <c r="L10" i="8" s="1"/>
  <c r="M48" i="8"/>
  <c r="M47" i="8"/>
  <c r="M46" i="8"/>
  <c r="M45" i="8"/>
  <c r="M44" i="8"/>
  <c r="M43" i="8"/>
  <c r="M42" i="8"/>
  <c r="M41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K8" i="8" l="1"/>
  <c r="K10" i="8"/>
  <c r="J25" i="8"/>
  <c r="J26" i="8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B44" i="9"/>
  <c r="B45" i="9"/>
  <c r="D3" i="9"/>
  <c r="D44" i="9"/>
  <c r="D45" i="9"/>
  <c r="D46" i="9"/>
  <c r="D2" i="9"/>
  <c r="A3" i="9"/>
  <c r="B2" i="9"/>
  <c r="B3" i="9"/>
  <c r="J35" i="8"/>
  <c r="J7" i="8"/>
  <c r="L35" i="8" l="1"/>
  <c r="K35" i="8"/>
  <c r="K26" i="8"/>
  <c r="L26" i="8"/>
  <c r="K25" i="8"/>
  <c r="L25" i="8"/>
  <c r="L7" i="8"/>
  <c r="K7" i="8"/>
  <c r="J47" i="8"/>
  <c r="J46" i="8"/>
  <c r="J45" i="8"/>
  <c r="J44" i="8"/>
  <c r="J43" i="8"/>
  <c r="J42" i="8"/>
  <c r="J41" i="8"/>
  <c r="J39" i="8"/>
  <c r="J38" i="8"/>
  <c r="J37" i="8"/>
  <c r="J36" i="8"/>
  <c r="J34" i="8"/>
  <c r="J33" i="8"/>
  <c r="J32" i="8"/>
  <c r="J31" i="8"/>
  <c r="J30" i="8"/>
  <c r="J29" i="8"/>
  <c r="J28" i="8"/>
  <c r="J27" i="8"/>
  <c r="J24" i="8"/>
  <c r="J23" i="8"/>
  <c r="J22" i="8"/>
  <c r="J21" i="8"/>
  <c r="J20" i="8"/>
  <c r="J19" i="8"/>
  <c r="J18" i="8"/>
  <c r="J17" i="8"/>
  <c r="J16" i="8"/>
  <c r="J15" i="8"/>
  <c r="K30" i="8" l="1"/>
  <c r="L30" i="8"/>
  <c r="L32" i="8"/>
  <c r="K32" i="8"/>
  <c r="L31" i="8"/>
  <c r="K31" i="8"/>
  <c r="L39" i="8"/>
  <c r="K39" i="8"/>
  <c r="L41" i="8"/>
  <c r="K41" i="8"/>
  <c r="K42" i="8"/>
  <c r="L42" i="8"/>
  <c r="L23" i="8"/>
  <c r="K23" i="8"/>
  <c r="L16" i="8"/>
  <c r="K16" i="8"/>
  <c r="L44" i="8"/>
  <c r="K44" i="8"/>
  <c r="L27" i="8"/>
  <c r="K27" i="8"/>
  <c r="L36" i="8"/>
  <c r="K36" i="8"/>
  <c r="L45" i="8"/>
  <c r="K45" i="8"/>
  <c r="K43" i="8"/>
  <c r="L43" i="8"/>
  <c r="K37" i="8"/>
  <c r="L37" i="8"/>
  <c r="L20" i="8"/>
  <c r="K20" i="8"/>
  <c r="K21" i="8"/>
  <c r="L21" i="8"/>
  <c r="K22" i="8"/>
  <c r="L22" i="8"/>
  <c r="L15" i="8"/>
  <c r="K15" i="8"/>
  <c r="K33" i="8"/>
  <c r="L33" i="8"/>
  <c r="L24" i="8"/>
  <c r="K24" i="8"/>
  <c r="K34" i="8"/>
  <c r="L34" i="8"/>
  <c r="K17" i="8"/>
  <c r="L17" i="8"/>
  <c r="K18" i="8"/>
  <c r="L18" i="8"/>
  <c r="L28" i="8"/>
  <c r="K28" i="8"/>
  <c r="K46" i="8"/>
  <c r="L46" i="8"/>
  <c r="L19" i="8"/>
  <c r="K19" i="8"/>
  <c r="K29" i="8"/>
  <c r="L29" i="8"/>
  <c r="K38" i="8"/>
  <c r="L38" i="8"/>
  <c r="K47" i="8"/>
  <c r="L47" i="8"/>
  <c r="J14" i="8"/>
  <c r="J13" i="8"/>
  <c r="J12" i="8"/>
  <c r="L12" i="8" l="1"/>
  <c r="K12" i="8"/>
  <c r="K14" i="8"/>
  <c r="L14" i="8"/>
  <c r="K13" i="8"/>
  <c r="L13" i="8"/>
  <c r="J9" i="8"/>
  <c r="J11" i="8"/>
  <c r="L11" i="8" l="1"/>
  <c r="K11" i="8"/>
  <c r="K9" i="8"/>
  <c r="L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Wersuhn, Ralf</author>
  </authors>
  <commentList>
    <comment ref="B3" authorId="0" shapeId="0" xr:uid="{836C43A6-0B6C-4589-B47A-DBD043EA645D}">
      <text>
        <r>
          <rPr>
            <b/>
            <sz val="9"/>
            <color indexed="81"/>
            <rFont val="Tahoma"/>
            <family val="2"/>
          </rPr>
          <t>Wersuhn, Ralf:</t>
        </r>
        <r>
          <rPr>
            <sz val="9"/>
            <color indexed="81"/>
            <rFont val="Tahoma"/>
            <family val="2"/>
          </rPr>
          <t xml:space="preserve">
row number for Header Technology list</t>
        </r>
      </text>
    </comment>
  </commentList>
</comments>
</file>

<file path=xl/sharedStrings.xml><?xml version="1.0" encoding="utf-8"?>
<sst xmlns="http://schemas.openxmlformats.org/spreadsheetml/2006/main" count="219" uniqueCount="120">
  <si>
    <t>SETUP</t>
  </si>
  <si>
    <t>Chart</t>
  </si>
  <si>
    <t>Chart 1</t>
  </si>
  <si>
    <t>start_tech</t>
  </si>
  <si>
    <t>Readiness</t>
  </si>
  <si>
    <t>Response</t>
  </si>
  <si>
    <t>LW_percent</t>
  </si>
  <si>
    <t>(Graph)</t>
  </si>
  <si>
    <t>Project</t>
  </si>
  <si>
    <t>User Case</t>
  </si>
  <si>
    <t>Region</t>
  </si>
  <si>
    <t>Impact</t>
  </si>
  <si>
    <t>Angle</t>
  </si>
  <si>
    <t>Typ</t>
  </si>
  <si>
    <t>Eingabe Time</t>
  </si>
  <si>
    <t>x</t>
  </si>
  <si>
    <t>Y</t>
  </si>
  <si>
    <t>Nomoq</t>
  </si>
  <si>
    <t>EU</t>
  </si>
  <si>
    <t>process</t>
  </si>
  <si>
    <t>Hart Print</t>
  </si>
  <si>
    <t>NA</t>
  </si>
  <si>
    <t>Mass Production Digital Printing</t>
  </si>
  <si>
    <t>ALL</t>
  </si>
  <si>
    <t>Digitally Printed Ends</t>
  </si>
  <si>
    <t>product</t>
  </si>
  <si>
    <t>H!gh End</t>
  </si>
  <si>
    <t>H!gh End 202 CDL+</t>
  </si>
  <si>
    <t>LadyBug</t>
  </si>
  <si>
    <t>Laminated Ends</t>
  </si>
  <si>
    <t>Canovation</t>
  </si>
  <si>
    <t>Resealable Can (Metal)</t>
  </si>
  <si>
    <t>Hipo</t>
  </si>
  <si>
    <t>Resealable Can (Non-metal Parts)</t>
  </si>
  <si>
    <t>Product</t>
  </si>
  <si>
    <t>Slim for NA</t>
  </si>
  <si>
    <t>Shot Can</t>
  </si>
  <si>
    <t>PET Killer Water Can</t>
  </si>
  <si>
    <t>Special Applications (180-220)</t>
  </si>
  <si>
    <t>Widget 2.0</t>
  </si>
  <si>
    <t>Water for Natural Disasters</t>
  </si>
  <si>
    <t>Stage Gate</t>
  </si>
  <si>
    <t xml:space="preserve">low </t>
  </si>
  <si>
    <t>medium</t>
  </si>
  <si>
    <t>high</t>
  </si>
  <si>
    <t>NA, EU</t>
  </si>
  <si>
    <t>Radar Decision Log</t>
  </si>
  <si>
    <t>Use Case</t>
  </si>
  <si>
    <t>Detailed Description</t>
  </si>
  <si>
    <t>Disruptiveness</t>
  </si>
  <si>
    <t>Capital/Cost</t>
  </si>
  <si>
    <t>Decision</t>
  </si>
  <si>
    <t>Date</t>
  </si>
  <si>
    <t>Rationale</t>
  </si>
  <si>
    <t>Ideation</t>
  </si>
  <si>
    <t>S1 - Concept</t>
  </si>
  <si>
    <t>S2 - Design</t>
  </si>
  <si>
    <t>S4 - Commissioning</t>
  </si>
  <si>
    <t>S5 - Commercialization</t>
  </si>
  <si>
    <t>S6 - Stopped</t>
  </si>
  <si>
    <t>S3 - Prototyping</t>
  </si>
  <si>
    <t>Stage Gate Status</t>
  </si>
  <si>
    <t>Active Work</t>
  </si>
  <si>
    <t>Active Working</t>
  </si>
  <si>
    <t>Yes</t>
  </si>
  <si>
    <t>No</t>
  </si>
  <si>
    <t>Column1</t>
  </si>
  <si>
    <t>Instructions</t>
  </si>
  <si>
    <t xml:space="preserve">Digital Printing </t>
  </si>
  <si>
    <t xml:space="preserve">Customized Decoration </t>
  </si>
  <si>
    <t>0-60</t>
  </si>
  <si>
    <t>60-120</t>
  </si>
  <si>
    <t>120-180</t>
  </si>
  <si>
    <t>180-240</t>
  </si>
  <si>
    <t>240-300</t>
  </si>
  <si>
    <t>300-360</t>
  </si>
  <si>
    <t>New Sizes</t>
  </si>
  <si>
    <t>Special Applications</t>
  </si>
  <si>
    <t>Changes</t>
  </si>
  <si>
    <t>Categories can be changed on Setup sheet, Column B.  Only six catagories will be assigned.  Names will update with a press of "Update Chart"</t>
  </si>
  <si>
    <t>Use_Case</t>
  </si>
  <si>
    <t>1. [Column A] Add project name.</t>
  </si>
  <si>
    <t>Limits</t>
  </si>
  <si>
    <t>No limit</t>
  </si>
  <si>
    <t xml:space="preserve">2. [Column B] Pick a category. </t>
  </si>
  <si>
    <t>Setup Column B</t>
  </si>
  <si>
    <t>Setup Column C</t>
  </si>
  <si>
    <t>Values</t>
  </si>
  <si>
    <t>Unlimited</t>
  </si>
  <si>
    <t>Limited</t>
  </si>
  <si>
    <t>1, 2, or 3</t>
  </si>
  <si>
    <t>Setup Column D</t>
  </si>
  <si>
    <t>Time Years</t>
  </si>
  <si>
    <t>7. [Column G] Add angle to match 'User Case' Label on chart</t>
  </si>
  <si>
    <t>Max 5</t>
  </si>
  <si>
    <t>0-360</t>
  </si>
  <si>
    <t>Regions can be changed on Setup Sheet, Column C</t>
  </si>
  <si>
    <t xml:space="preserve">Stage Gate Status can be change on Setup sheet, Column D.  </t>
  </si>
  <si>
    <t>8. [Column H] Select if project is active or not.</t>
  </si>
  <si>
    <t>6. [Column F] Add project estimated development duration</t>
  </si>
  <si>
    <t>5. [Column E] Select Stage Gate Status of project</t>
  </si>
  <si>
    <t>4. [Column D] Select project impact</t>
  </si>
  <si>
    <t>3. [Column C] Selection region for project</t>
  </si>
  <si>
    <t>Troubleshooting</t>
  </si>
  <si>
    <t>9. Click 'Update Chart' to update bubble chart</t>
  </si>
  <si>
    <t xml:space="preserve">Setup page is hidden and should not be necessary to adjust </t>
  </si>
  <si>
    <t>0 degrees is 12 o'clock</t>
  </si>
  <si>
    <t>Yes/No</t>
  </si>
  <si>
    <t>If clicking 'Update Chart' hangs, save worksheet and try closing and reopening.</t>
  </si>
  <si>
    <t>Misc.</t>
  </si>
  <si>
    <t>IF wanting to move project copy and paste do not drag and drop.</t>
  </si>
  <si>
    <t>How this sheet works:</t>
  </si>
  <si>
    <t>A bubble plot is not native to excel so some trickery is needed.</t>
  </si>
  <si>
    <t>All angles and Time lengths are converted from scaler to an X Y coordinate.  This can be overlayed onto a bubble plot</t>
  </si>
  <si>
    <t>Two series are used, one for the Stage Gate status and impact, another for Active Work boolean.</t>
  </si>
  <si>
    <t>Macro was written to automatically color and outline following a Gartner white paper</t>
  </si>
  <si>
    <t>Macro was adapted from a previous version by David Stone</t>
  </si>
  <si>
    <t>Any changes should go through the proje+ct page at: github.com/dastone16/COF_Bubble_Chart</t>
  </si>
  <si>
    <t>The x y coordinates are in columns just the right of the chart.</t>
  </si>
  <si>
    <t>Colors in chart are for segregation purposes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</si>
</sst>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;;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9" fillId="0" borderId="0" xfId="0" applyFont="1"/>
    <xf numFmtId="0" fontId="7" fillId="0" borderId="0" xfId="0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wrapText="1"/>
    </xf>
    <xf numFmtId="165" fontId="10" fillId="7" borderId="0" xfId="0" applyNumberFormat="1" applyFont="1" applyFill="1"/>
    <xf numFmtId="165" fontId="10" fillId="7" borderId="0" xfId="0" applyNumberFormat="1" applyFont="1" applyFill="1" applyAlignment="1">
      <alignment wrapText="1"/>
    </xf>
    <xf numFmtId="0" fontId="0" fillId="0" borderId="0" xfId="0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4" fontId="5" fillId="0" borderId="0" xfId="0" applyNumberFormat="1" applyFont="1" applyBorder="1" applyAlignment="1">
      <alignment vertical="center"/>
    </xf>
    <xf numFmtId="164" fontId="5" fillId="0" borderId="0" xfId="0" applyNumberFormat="1" applyFont="1" applyFill="1" applyBorder="1" applyAlignment="1">
      <alignment vertical="center"/>
    </xf>
    <xf numFmtId="164" fontId="5" fillId="0" borderId="0" xfId="0" applyNumberFormat="1" applyFont="1" applyBorder="1"/>
    <xf numFmtId="0" fontId="13" fillId="0" borderId="0" xfId="0" applyFont="1"/>
    <xf numFmtId="0" fontId="13" fillId="2" borderId="0" xfId="0" applyFont="1" applyFill="1"/>
    <xf numFmtId="0" fontId="14" fillId="0" borderId="0" xfId="0" applyFont="1"/>
    <xf numFmtId="0" fontId="14" fillId="2" borderId="0" xfId="0" applyFont="1" applyFill="1"/>
    <xf numFmtId="49" fontId="14" fillId="0" borderId="0" xfId="0" applyNumberFormat="1" applyFont="1" applyAlignment="1">
      <alignment vertical="center"/>
    </xf>
    <xf numFmtId="164" fontId="14" fillId="2" borderId="0" xfId="0" applyNumberFormat="1" applyFont="1" applyFill="1"/>
    <xf numFmtId="49" fontId="14" fillId="0" borderId="0" xfId="0" applyNumberFormat="1" applyFont="1"/>
    <xf numFmtId="16" fontId="13" fillId="0" borderId="0" xfId="0" quotePrefix="1" applyNumberFormat="1" applyFont="1"/>
    <xf numFmtId="0" fontId="12" fillId="9" borderId="2" xfId="0" applyFont="1" applyFill="1" applyBorder="1"/>
    <xf numFmtId="0" fontId="12" fillId="9" borderId="3" xfId="0" applyFont="1" applyFill="1" applyBorder="1"/>
    <xf numFmtId="0" fontId="12" fillId="9" borderId="3" xfId="0" applyFont="1" applyFill="1" applyBorder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1" fillId="3" borderId="1" xfId="0" applyFont="1" applyFill="1" applyBorder="1"/>
    <xf numFmtId="164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11" fillId="0" borderId="1" xfId="0" applyFont="1" applyFill="1" applyBorder="1"/>
    <xf numFmtId="0" fontId="11" fillId="6" borderId="1" xfId="0" applyFont="1" applyFill="1" applyBorder="1"/>
    <xf numFmtId="0" fontId="11" fillId="4" borderId="1" xfId="0" applyFont="1" applyFill="1" applyBorder="1"/>
    <xf numFmtId="0" fontId="11" fillId="5" borderId="1" xfId="0" applyFont="1" applyFill="1" applyBorder="1"/>
    <xf numFmtId="164" fontId="11" fillId="0" borderId="1" xfId="0" applyNumberFormat="1" applyFont="1" applyBorder="1"/>
    <xf numFmtId="0" fontId="11" fillId="10" borderId="1" xfId="0" applyFont="1" applyFill="1" applyBorder="1"/>
    <xf numFmtId="0" fontId="11" fillId="0" borderId="1" xfId="0" applyFont="1" applyBorder="1"/>
    <xf numFmtId="0" fontId="5" fillId="0" borderId="1" xfId="0" applyFont="1" applyFill="1" applyBorder="1"/>
    <xf numFmtId="16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164" fontId="5" fillId="0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0" fillId="0" borderId="1" xfId="0" applyFill="1" applyBorder="1"/>
    <xf numFmtId="164" fontId="5" fillId="0" borderId="1" xfId="0" applyNumberFormat="1" applyFont="1" applyFill="1" applyBorder="1" applyAlignment="1">
      <alignment vertical="center"/>
    </xf>
    <xf numFmtId="0" fontId="11" fillId="0" borderId="4" xfId="0" applyFont="1" applyFill="1" applyBorder="1"/>
    <xf numFmtId="164" fontId="11" fillId="0" borderId="4" xfId="0" applyNumberFormat="1" applyFont="1" applyBorder="1"/>
    <xf numFmtId="164" fontId="11" fillId="0" borderId="4" xfId="0" applyNumberFormat="1" applyFont="1" applyBorder="1" applyAlignment="1">
      <alignment vertical="center"/>
    </xf>
    <xf numFmtId="0" fontId="11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 vertical="center"/>
    </xf>
    <xf numFmtId="164" fontId="14" fillId="2" borderId="0" xfId="0" applyNumberFormat="1" applyFont="1" applyFill="1" applyBorder="1"/>
    <xf numFmtId="0" fontId="14" fillId="0" borderId="0" xfId="0" applyFont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3" fillId="2" borderId="0" xfId="0" applyFont="1" applyFill="1" applyBorder="1"/>
    <xf numFmtId="0" fontId="13" fillId="0" borderId="0" xfId="0" applyFont="1" applyBorder="1"/>
    <xf numFmtId="49" fontId="14" fillId="0" borderId="1" xfId="0" applyNumberFormat="1" applyFont="1" applyBorder="1"/>
    <xf numFmtId="0" fontId="14" fillId="2" borderId="1" xfId="0" applyFont="1" applyFill="1" applyBorder="1"/>
    <xf numFmtId="49" fontId="14" fillId="8" borderId="1" xfId="0" applyNumberFormat="1" applyFont="1" applyFill="1" applyBorder="1"/>
    <xf numFmtId="0" fontId="0" fillId="0" borderId="1" xfId="0" applyFill="1" applyBorder="1" applyAlignment="1">
      <alignment horizontal="center"/>
    </xf>
    <xf numFmtId="49" fontId="14" fillId="0" borderId="1" xfId="0" applyNumberFormat="1" applyFont="1" applyBorder="1" applyAlignment="1">
      <alignment vertical="center"/>
    </xf>
    <xf numFmtId="0" fontId="5" fillId="0" borderId="1" xfId="0" applyFont="1" applyFill="1" applyBorder="1" applyAlignment="1">
      <alignment vertical="center" wrapText="1"/>
    </xf>
    <xf numFmtId="0" fontId="11" fillId="11" borderId="1" xfId="0" applyFont="1" applyFill="1" applyBorder="1"/>
  </cellXfs>
  <cellStyles count="1">
    <cellStyle name="Normal" xfId="0" builtinId="0"/>
  </cellStyles>
  <dxfs count="27"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 tint="-0.24994659260841701"/>
      </font>
      <fill>
        <patternFill>
          <bgColor rgb="FF000064"/>
        </patternFill>
      </fill>
    </dxf>
    <dxf>
      <fill>
        <patternFill>
          <bgColor rgb="FFE6FA1E"/>
        </patternFill>
      </fill>
    </dxf>
    <dxf>
      <fill>
        <patternFill>
          <bgColor rgb="FFDC140A"/>
        </patternFill>
      </fill>
    </dxf>
    <dxf>
      <fill>
        <patternFill>
          <bgColor rgb="FF0ADC3C"/>
        </patternFill>
      </fill>
    </dxf>
    <dxf>
      <font>
        <color theme="0" tint="-0.24994659260841701"/>
      </font>
      <fill>
        <patternFill>
          <bgColor rgb="FF000064"/>
        </patternFill>
      </fill>
    </dxf>
    <dxf>
      <fill>
        <patternFill>
          <bgColor rgb="FFE6FA1E"/>
        </patternFill>
      </fill>
    </dxf>
    <dxf>
      <fill>
        <patternFill>
          <bgColor rgb="FFDC140A"/>
        </patternFill>
      </fill>
    </dxf>
    <dxf>
      <fill>
        <patternFill>
          <bgColor rgb="FF0ADC3C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16EBF6"/>
      <color rgb="FF9CC3E5"/>
      <color rgb="FFFF0000"/>
      <color rgb="FF92D050"/>
      <color rgb="FFFFD965"/>
      <color rgb="FF2E75B5"/>
      <color rgb="FFCCFFFF"/>
      <color rgb="FFF48C93"/>
      <color rgb="FF0ADC3C"/>
      <color rgb="FF0000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465828953317684E-2"/>
          <c:y val="2.6021188421108874E-2"/>
          <c:w val="0.93286016624078172"/>
          <c:h val="0.9226552462526767"/>
        </c:manualLayout>
      </c:layout>
      <c:bubbleChart>
        <c:varyColors val="1"/>
        <c:ser>
          <c:idx val="0"/>
          <c:order val="0"/>
          <c:tx>
            <c:strRef>
              <c:f>xyplot!$A$7:$A$48</c:f>
              <c:strCache>
                <c:ptCount val="42"/>
                <c:pt idx="0">
                  <c:v>Nomoq</c:v>
                </c:pt>
                <c:pt idx="1">
                  <c:v>Hart Print</c:v>
                </c:pt>
                <c:pt idx="2">
                  <c:v>Mass Production Digital Printing</c:v>
                </c:pt>
                <c:pt idx="3">
                  <c:v>Digitally Printed Ends</c:v>
                </c:pt>
                <c:pt idx="6">
                  <c:v>H!gh End</c:v>
                </c:pt>
                <c:pt idx="7">
                  <c:v>H!gh End 202 CDL+</c:v>
                </c:pt>
                <c:pt idx="8">
                  <c:v>LadyBug</c:v>
                </c:pt>
                <c:pt idx="9">
                  <c:v>Laminated Ends</c:v>
                </c:pt>
                <c:pt idx="12">
                  <c:v>Canovation</c:v>
                </c:pt>
                <c:pt idx="13">
                  <c:v>Hipo</c:v>
                </c:pt>
                <c:pt idx="15">
                  <c:v>Slim for NA</c:v>
                </c:pt>
                <c:pt idx="16">
                  <c:v>Shot Can</c:v>
                </c:pt>
                <c:pt idx="18">
                  <c:v>PET Killer Water Can</c:v>
                </c:pt>
                <c:pt idx="19">
                  <c:v>Widget 2.0</c:v>
                </c:pt>
                <c:pt idx="20">
                  <c:v>Water for Natural Disasters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D965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solidFill>
                      <a:srgbClr val="2E75B5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F6DF-4992-9D96-8F6A0D26BAB1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solidFill>
                      <a:srgbClr val="2E75B5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F6DF-4992-9D96-8F6A0D26BAB1}"/>
              </c:ext>
            </c:extLst>
          </c:dPt>
          <c:dPt>
            <c:idx val="2"/>
            <c:invertIfNegative val="0"/>
            <c:bubble3D val="0"/>
            <c:spPr>
              <a:solidFill>
                <a:srgbClr val="16EBF6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DF-4992-9D96-8F6A0D26BAB1}"/>
              </c:ext>
            </c:extLst>
          </c:dPt>
          <c:dPt>
            <c:idx val="3"/>
            <c:invertIfNegative val="0"/>
            <c:bubble3D val="0"/>
            <c:spPr>
              <a:solidFill>
                <a:srgbClr val="16EBF6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DF-4992-9D96-8F6A0D26BAB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DF-4992-9D96-8F6A0D26BAB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DF-4992-9D96-8F6A0D26BAB1}"/>
              </c:ext>
            </c:extLst>
          </c:dPt>
          <c:dPt>
            <c:idx val="6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D-F6DF-4992-9D96-8F6A0D26BAB1}"/>
              </c:ext>
            </c:extLst>
          </c:dPt>
          <c:dPt>
            <c:idx val="7"/>
            <c:invertIfNegative val="0"/>
            <c:bubble3D val="0"/>
            <c:spPr>
              <a:solidFill>
                <a:srgbClr val="CCFFF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F-F6DF-4992-9D96-8F6A0D26BAB1}"/>
              </c:ext>
            </c:extLst>
          </c:dPt>
          <c:dPt>
            <c:idx val="8"/>
            <c:invertIfNegative val="0"/>
            <c:bubble3D val="0"/>
            <c:spPr>
              <a:solidFill>
                <a:srgbClr val="9CC3E5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6DF-4992-9D96-8F6A0D26BAB1}"/>
              </c:ext>
            </c:extLst>
          </c:dPt>
          <c:dPt>
            <c:idx val="9"/>
            <c:invertIfNegative val="0"/>
            <c:bubble3D val="0"/>
            <c:spPr>
              <a:solidFill>
                <a:srgbClr val="2E75B5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solidFill>
                      <a:srgbClr val="2E75B5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3-F6DF-4992-9D96-8F6A0D26BAB1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DF-4992-9D96-8F6A0D26BAB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F6DF-4992-9D96-8F6A0D26BAB1}"/>
              </c:ext>
            </c:extLst>
          </c:dPt>
          <c:dPt>
            <c:idx val="12"/>
            <c:invertIfNegative val="0"/>
            <c:bubble3D val="0"/>
            <c:spPr>
              <a:solidFill>
                <a:srgbClr val="CCFFFF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6DF-4992-9D96-8F6A0D26BAB1}"/>
              </c:ext>
            </c:extLst>
          </c:dPt>
          <c:dPt>
            <c:idx val="13"/>
            <c:invertIfNegative val="0"/>
            <c:bubble3D val="0"/>
            <c:spPr>
              <a:solidFill>
                <a:srgbClr val="2E75B5">
                  <a:alpha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6DF-4992-9D96-8F6A0D26BAB1}"/>
              </c:ext>
            </c:extLst>
          </c:dPt>
          <c:dPt>
            <c:idx val="14"/>
            <c:invertIfNegative val="0"/>
            <c:bubble3D val="0"/>
            <c:spPr>
              <a:solidFill>
                <a:srgbClr val="2E75B5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solidFill>
                      <a:srgbClr val="2E75B5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D-F6DF-4992-9D96-8F6A0D26BAB1}"/>
              </c:ext>
            </c:extLst>
          </c:dPt>
          <c:dPt>
            <c:idx val="15"/>
            <c:invertIfNegative val="0"/>
            <c:bubble3D val="0"/>
            <c:spPr>
              <a:solidFill>
                <a:srgbClr val="16EBF6">
                  <a:alpha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F6DF-4992-9D96-8F6A0D26BAB1}"/>
              </c:ext>
            </c:extLst>
          </c:dPt>
          <c:dPt>
            <c:idx val="16"/>
            <c:invertIfNegative val="0"/>
            <c:bubble3D val="0"/>
            <c:spPr>
              <a:solidFill>
                <a:srgbClr val="CCFFFF">
                  <a:alpha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F6DF-4992-9D96-8F6A0D26BAB1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6DF-4992-9D96-8F6A0D26BAB1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FF">
                  <a:alpha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F6DF-4992-9D96-8F6A0D26BAB1}"/>
              </c:ext>
            </c:extLst>
          </c:dPt>
          <c:dPt>
            <c:idx val="19"/>
            <c:invertIfNegative val="0"/>
            <c:bubble3D val="0"/>
            <c:spPr>
              <a:solidFill>
                <a:srgbClr val="16EBF6">
                  <a:alpha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F6DF-4992-9D96-8F6A0D26BAB1}"/>
              </c:ext>
            </c:extLst>
          </c:dPt>
          <c:dPt>
            <c:idx val="20"/>
            <c:invertIfNegative val="0"/>
            <c:bubble3D val="0"/>
            <c:spPr>
              <a:solidFill>
                <a:srgbClr val="16EBF6">
                  <a:alpha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F6DF-4992-9D96-8F6A0D26BAB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6DF-4992-9D96-8F6A0D26BAB1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6DF-4992-9D96-8F6A0D26BAB1}"/>
              </c:ext>
            </c:extLst>
          </c:dPt>
          <c:dPt>
            <c:idx val="23"/>
            <c:invertIfNegative val="0"/>
            <c:bubble3D val="0"/>
            <c:spPr>
              <a:solidFill>
                <a:srgbClr val="16EBF6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6DF-4992-9D96-8F6A0D26BAB1}"/>
              </c:ext>
            </c:extLst>
          </c:dPt>
          <c:dPt>
            <c:idx val="24"/>
            <c:invertIfNegative val="0"/>
            <c:bubble3D val="0"/>
            <c:spPr>
              <a:solidFill>
                <a:srgbClr val="16EBF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solidFill>
                      <a:srgbClr val="2E75B5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13DF-4EBA-B590-B8B2C378A079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13DF-4EBA-B590-B8B2C378A079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13DF-4EBA-B590-B8B2C378A07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13DF-4EBA-B590-B8B2C378A079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D81D-42E8-A23D-AFF05966E1C3}"/>
              </c:ext>
            </c:extLst>
          </c:dPt>
          <c:dPt>
            <c:idx val="29"/>
            <c:invertIfNegative val="0"/>
            <c:bubble3D val="0"/>
            <c:spPr>
              <a:solidFill>
                <a:srgbClr val="16EBF6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D81D-42E8-A23D-AFF05966E1C3}"/>
              </c:ext>
            </c:extLst>
          </c:dPt>
          <c:dPt>
            <c:idx val="30"/>
            <c:invertIfNegative val="0"/>
            <c:bubble3D val="0"/>
            <c:spPr>
              <a:solidFill>
                <a:srgbClr val="16EBF6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81D-42E8-A23D-AFF05966E1C3}"/>
              </c:ext>
            </c:extLst>
          </c:dPt>
          <c:dPt>
            <c:idx val="31"/>
            <c:invertIfNegative val="0"/>
            <c:bubble3D val="0"/>
            <c:spPr>
              <a:solidFill>
                <a:srgbClr val="16EBF6"/>
              </a:solidFill>
              <a:ln>
                <a:solidFill>
                  <a:srgbClr val="2E7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D81D-42E8-A23D-AFF05966E1C3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D81D-42E8-A23D-AFF05966E1C3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D81D-42E8-A23D-AFF05966E1C3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D81D-42E8-A23D-AFF05966E1C3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D81D-42E8-A23D-AFF05966E1C3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D81D-42E8-A23D-AFF05966E1C3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D81D-42E8-A23D-AFF05966E1C3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D81D-42E8-A23D-AFF05966E1C3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D81D-42E8-A23D-AFF05966E1C3}"/>
              </c:ext>
            </c:extLst>
          </c:dPt>
          <c:dLbls>
            <c:dLbl>
              <c:idx val="0"/>
              <c:tx>
                <c:rich>
                  <a:bodyPr rot="0" spcFirstLastPara="1" vertOverflow="clip" horzOverflow="clip" vert="horz" wrap="square" lIns="36576" tIns="18288" rIns="36576" bIns="18288" anchor="ctr" anchorCtr="0">
                    <a:sp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59996CD-61EE-45B9-B46A-3D4A2FC89015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 w="12700">
                  <a:noFill/>
                  <a:prstDash val="dash"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DF-4992-9D96-8F6A0D26BA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D4A768-359A-4E19-96D1-6996D9957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DF-4992-9D96-8F6A0D26BA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45988E-F74A-4614-B199-70381AC5F2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52950333155222"/>
                      <c:h val="5.838166847275763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6DF-4992-9D96-8F6A0D26BAB1}"/>
                </c:ext>
              </c:extLst>
            </c:dLbl>
            <c:dLbl>
              <c:idx val="3"/>
              <c:tx>
                <c:rich>
                  <a:bodyPr rot="0" spcFirstLastPara="1" vertOverflow="clip" horzOverflow="clip" vert="horz" wrap="square" lIns="36576" tIns="18288" rIns="36576" bIns="18288" anchor="ctr" anchorCtr="0">
                    <a:sp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84257CE-C866-4B4D-8FBF-CCE5F279CDDC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 w="12700">
                  <a:noFill/>
                  <a:prstDash val="dash"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DF-4992-9D96-8F6A0D26BA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65175E-71C0-4863-9C5F-DF374A802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482245654200712"/>
                      <c:h val="6.508867140908618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6DF-4992-9D96-8F6A0D26BA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2FE1CA-38EF-410E-BD22-26D37972FF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DF-4992-9D96-8F6A0D26BA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B39A1B-26D6-4666-94DC-1AB21FA250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DF-4992-9D96-8F6A0D26BA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DE4948-F891-4782-B057-768DA3954D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DF-4992-9D96-8F6A0D26BA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22556F-CFB9-47F1-8A92-BB9FF449F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DF-4992-9D96-8F6A0D26BAB1}"/>
                </c:ext>
              </c:extLst>
            </c:dLbl>
            <c:dLbl>
              <c:idx val="9"/>
              <c:tx>
                <c:rich>
                  <a:bodyPr rot="0" spcFirstLastPara="1" vertOverflow="clip" horzOverflow="clip" vert="horz" wrap="square" lIns="36576" tIns="18288" rIns="36576" bIns="18288" anchor="ctr" anchorCtr="0">
                    <a:no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A247E66-A4F2-4E72-9398-B8BE5DA7C285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layout>
                    <c:manualLayout>
                      <c:w val="0.14150769170424718"/>
                      <c:h val="4.074261014945006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F6DF-4992-9D96-8F6A0D26BA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3A3D1F-27D1-4063-A6E9-8E29DF3954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DF-4992-9D96-8F6A0D26BA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FE997E-2E72-49E3-BC70-A87672A91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DF-4992-9D96-8F6A0D26BA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2C1E9A-956C-47DB-ADEC-5CB4DB1FE6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DF-4992-9D96-8F6A0D26BAB1}"/>
                </c:ext>
              </c:extLst>
            </c:dLbl>
            <c:dLbl>
              <c:idx val="13"/>
              <c:tx>
                <c:rich>
                  <a:bodyPr rot="0" spcFirstLastPara="1" vertOverflow="clip" horzOverflow="clip" vert="horz" wrap="square" lIns="36576" tIns="18288" rIns="36576" bIns="18288" anchor="ctr" anchorCtr="0">
                    <a:no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CF9FB8-B18E-4E3B-A031-9828BBCE40C9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layout>
                    <c:manualLayout>
                      <c:w val="0.12932720786250995"/>
                      <c:h val="3.375545630525020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F6DF-4992-9D96-8F6A0D26BA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113426-C909-4A5E-B290-2BFE096D0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DF-4992-9D96-8F6A0D26BAB1}"/>
                </c:ext>
              </c:extLst>
            </c:dLbl>
            <c:dLbl>
              <c:idx val="15"/>
              <c:tx>
                <c:rich>
                  <a:bodyPr rot="0" spcFirstLastPara="1" vertOverflow="clip" horzOverflow="clip" vert="horz" wrap="square" lIns="36576" tIns="18288" rIns="36576" bIns="18288" anchor="ctr" anchorCtr="0">
                    <a:no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C9C825-5496-456A-9755-C7C13A92E801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layout>
                    <c:manualLayout>
                      <c:w val="0.25464313303341551"/>
                      <c:h val="3.375545630525020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F6DF-4992-9D96-8F6A0D26BAB1}"/>
                </c:ext>
              </c:extLst>
            </c:dLbl>
            <c:dLbl>
              <c:idx val="16"/>
              <c:tx>
                <c:rich>
                  <a:bodyPr rot="0" spcFirstLastPara="1" vertOverflow="clip" horzOverflow="clip" vert="horz" wrap="square" lIns="36576" tIns="18288" rIns="36576" bIns="18288" anchor="ctr" anchorCtr="0">
                    <a:no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D790B59-4B34-41D8-BF32-5DF398E0C547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layout>
                    <c:manualLayout>
                      <c:w val="0.20184880917229875"/>
                      <c:h val="3.498676680549772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F6DF-4992-9D96-8F6A0D26BA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95454B-E39F-439E-B6FA-C341A3D7D8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DF-4992-9D96-8F6A0D26BA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121442-E592-46B6-9670-C2E20FF6C8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DF-4992-9D96-8F6A0D26BA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F992AA-B16A-487A-9235-BF6CE90A2E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DF-4992-9D96-8F6A0D26BA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28D8BA-745B-45C5-B2A2-CC15B1162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DF-4992-9D96-8F6A0D26BA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B61980-69AA-49E5-8EB4-4F182E1CC6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DF-4992-9D96-8F6A0D26BA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B4DE12-CB2A-4BFC-B120-08C45E3E9B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DF-4992-9D96-8F6A0D26BAB1}"/>
                </c:ext>
              </c:extLst>
            </c:dLbl>
            <c:dLbl>
              <c:idx val="23"/>
              <c:tx>
                <c:rich>
                  <a:bodyPr rot="0" spcFirstLastPara="1" vertOverflow="clip" horzOverflow="clip" vert="horz" wrap="square" lIns="36576" tIns="18288" rIns="36576" bIns="18288" anchor="ctr" anchorCtr="0">
                    <a:sp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8B92C47-121C-4955-8E1E-CE5D523E8FF4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 w="12700">
                  <a:noFill/>
                  <a:prstDash val="dash"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DF-4992-9D96-8F6A0D26BAB1}"/>
                </c:ext>
              </c:extLst>
            </c:dLbl>
            <c:dLbl>
              <c:idx val="24"/>
              <c:tx>
                <c:rich>
                  <a:bodyPr rot="0" spcFirstLastPara="1" vertOverflow="clip" horzOverflow="clip" vert="horz" wrap="square" lIns="36576" tIns="18288" rIns="36576" bIns="18288" anchor="ctr" anchorCtr="0">
                    <a:spAutoFit/>
                  </a:bodyPr>
                  <a:lstStyle/>
                  <a:p>
                    <a:pPr algn="l">
                      <a:defRPr sz="14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12E0A7D-359B-43B3-A112-31FCEB137040}" type="CELLRANGE">
                      <a:rPr lang="en-US"/>
                      <a:pPr algn="l">
                        <a:defRPr sz="14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 w="12700">
                  <a:noFill/>
                  <a:prstDash val="dash"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DF-4EBA-B590-B8B2C378A0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BA5A52-6D2A-475B-B2E8-11D2EB1AA4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DF-4EBA-B590-B8B2C378A0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AEAC14-52C3-4614-A2BC-E15B62146D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DF-4EBA-B590-B8B2C378A0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FDA115-F2A5-4D16-AE0D-A368945E6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DF-4EBA-B590-B8B2C378A0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576FF5-1FCD-4EA6-AFC1-AE178C6906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1D-42E8-A23D-AFF05966E1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7DB510-688C-476F-AABF-21E874A1C7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1D-42E8-A23D-AFF05966E1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E0E9F6-6724-4FFB-A7A5-67420F8F0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1D-42E8-A23D-AFF05966E1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2E24A7-5219-4517-BB68-50EF32190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475922675303451"/>
                      <c:h val="5.923345654251573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D81D-42E8-A23D-AFF05966E1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CAAC43-4857-4422-A4E8-B21FE8E6F2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1D-42E8-A23D-AFF05966E1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128E03-B443-4358-9C71-BF41610EE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1D-42E8-A23D-AFF05966E1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7AB9A2-1E08-4F09-964B-3B7894B266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1D-42E8-A23D-AFF05966E1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4A93079-731E-4EB7-8B75-1A9D19DBB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1D-42E8-A23D-AFF05966E1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5C0208-FB5A-40E3-ADC1-7463C83BF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1D-42E8-A23D-AFF05966E1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0332EB-0A3F-4570-A7D5-43AF2321C3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1D-42E8-A23D-AFF05966E1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8CA005-0B5C-4423-AB97-8B4D57F69A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1D-42E8-A23D-AFF05966E1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C032D5-3A12-419E-A465-21B968D3B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1D-42E8-A23D-AFF05966E1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E92462-A0BB-446E-BA38-9D596EA139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1D-42E8-A23D-AFF05966E1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E4-440D-A54B-95C64FBAAB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0">
                <a:spAutoFit/>
              </a:bodyPr>
              <a:lstStyle/>
              <a:p>
                <a:pPr algn="l"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xyplot!$K$7:$K$48</c:f>
              <c:numCache>
                <c:formatCode>0.0</c:formatCode>
                <c:ptCount val="42"/>
                <c:pt idx="0">
                  <c:v>-3.159933327865784</c:v>
                </c:pt>
                <c:pt idx="1">
                  <c:v>-2.2573329459494178</c:v>
                </c:pt>
                <c:pt idx="2">
                  <c:v>-12.892527977692398</c:v>
                </c:pt>
                <c:pt idx="3">
                  <c:v>-7.0125000000000055</c:v>
                </c:pt>
                <c:pt idx="4">
                  <c:v>-5.0537373764980575E-17</c:v>
                </c:pt>
                <c:pt idx="5">
                  <c:v>-5.0537373764980575E-17</c:v>
                </c:pt>
                <c:pt idx="6">
                  <c:v>0.71629873287608792</c:v>
                </c:pt>
                <c:pt idx="7">
                  <c:v>3.1038328006804448</c:v>
                </c:pt>
                <c:pt idx="8">
                  <c:v>4.2423982239311595</c:v>
                </c:pt>
                <c:pt idx="9">
                  <c:v>5.4064034923073452</c:v>
                </c:pt>
                <c:pt idx="10">
                  <c:v>-5.0537373764980575E-17</c:v>
                </c:pt>
                <c:pt idx="11">
                  <c:v>-5.0537373764980575E-17</c:v>
                </c:pt>
                <c:pt idx="12">
                  <c:v>12.403942594373991</c:v>
                </c:pt>
                <c:pt idx="13">
                  <c:v>1.410833091218384</c:v>
                </c:pt>
                <c:pt idx="14">
                  <c:v>-5.0537373764980575E-17</c:v>
                </c:pt>
                <c:pt idx="15">
                  <c:v>-3.1038328006804434</c:v>
                </c:pt>
                <c:pt idx="16">
                  <c:v>-5.8332975579053441</c:v>
                </c:pt>
                <c:pt idx="17">
                  <c:v>-5.0537373764980575E-17</c:v>
                </c:pt>
                <c:pt idx="18">
                  <c:v>-15.194829678108139</c:v>
                </c:pt>
                <c:pt idx="19">
                  <c:v>-15.924341366207404</c:v>
                </c:pt>
                <c:pt idx="20">
                  <c:v>-16.170000000000002</c:v>
                </c:pt>
                <c:pt idx="21">
                  <c:v>-5.0537373764980575E-17</c:v>
                </c:pt>
                <c:pt idx="22">
                  <c:v>-5.0537373764980575E-17</c:v>
                </c:pt>
                <c:pt idx="23">
                  <c:v>-5.0537373764980575E-17</c:v>
                </c:pt>
                <c:pt idx="24">
                  <c:v>-5.0537373764980575E-17</c:v>
                </c:pt>
                <c:pt idx="25">
                  <c:v>-5.0537373764980575E-17</c:v>
                </c:pt>
                <c:pt idx="26">
                  <c:v>-5.0537373764980575E-17</c:v>
                </c:pt>
                <c:pt idx="27">
                  <c:v>-5.0537373764980575E-17</c:v>
                </c:pt>
                <c:pt idx="28">
                  <c:v>-5.0537373764980575E-17</c:v>
                </c:pt>
                <c:pt idx="29">
                  <c:v>-5.0537373764980575E-17</c:v>
                </c:pt>
                <c:pt idx="30">
                  <c:v>-5.0537373764980575E-17</c:v>
                </c:pt>
                <c:pt idx="31">
                  <c:v>-5.0537373764980575E-17</c:v>
                </c:pt>
                <c:pt idx="32">
                  <c:v>0</c:v>
                </c:pt>
                <c:pt idx="33">
                  <c:v>0</c:v>
                </c:pt>
                <c:pt idx="34">
                  <c:v>-5.0537373764980575E-17</c:v>
                </c:pt>
                <c:pt idx="35">
                  <c:v>-5.0537373764980575E-17</c:v>
                </c:pt>
                <c:pt idx="36">
                  <c:v>-5.0537373764980575E-17</c:v>
                </c:pt>
                <c:pt idx="37">
                  <c:v>-5.0537373764980575E-17</c:v>
                </c:pt>
                <c:pt idx="38">
                  <c:v>-5.0537373764980575E-17</c:v>
                </c:pt>
                <c:pt idx="39">
                  <c:v>-5.0537373764980575E-17</c:v>
                </c:pt>
                <c:pt idx="40">
                  <c:v>-5.0537373764980575E-17</c:v>
                </c:pt>
              </c:numCache>
            </c:numRef>
          </c:xVal>
          <c:yVal>
            <c:numRef>
              <c:f>xyplot!$L$7:$L$48</c:f>
              <c:numCache>
                <c:formatCode>0.0</c:formatCode>
                <c:ptCount val="42"/>
                <c:pt idx="0">
                  <c:v>2.6514988899569745</c:v>
                </c:pt>
                <c:pt idx="1">
                  <c:v>6.2019712971869936</c:v>
                </c:pt>
                <c:pt idx="2">
                  <c:v>10.818115471024454</c:v>
                </c:pt>
                <c:pt idx="3">
                  <c:v>12.146006288076746</c:v>
                </c:pt>
                <c:pt idx="4">
                  <c:v>-0.82499999999999996</c:v>
                </c:pt>
                <c:pt idx="5">
                  <c:v>-0.82499999999999996</c:v>
                </c:pt>
                <c:pt idx="6">
                  <c:v>4.0623319811753573</c:v>
                </c:pt>
                <c:pt idx="7">
                  <c:v>8.5277105336321188</c:v>
                </c:pt>
                <c:pt idx="8">
                  <c:v>5.0558933245852549</c:v>
                </c:pt>
                <c:pt idx="9">
                  <c:v>3.7856044799169037</c:v>
                </c:pt>
                <c:pt idx="10">
                  <c:v>-0.82499999999999996</c:v>
                </c:pt>
                <c:pt idx="11">
                  <c:v>-0.82499999999999996</c:v>
                </c:pt>
                <c:pt idx="12">
                  <c:v>-4.5146658918988267</c:v>
                </c:pt>
                <c:pt idx="13">
                  <c:v>-3.8762320607418719</c:v>
                </c:pt>
                <c:pt idx="14">
                  <c:v>-0.82499999999999996</c:v>
                </c:pt>
                <c:pt idx="15">
                  <c:v>-8.5277105336321188</c:v>
                </c:pt>
                <c:pt idx="16">
                  <c:v>-6.9518533213047249</c:v>
                </c:pt>
                <c:pt idx="17">
                  <c:v>-0.82499999999999996</c:v>
                </c:pt>
                <c:pt idx="18">
                  <c:v>-5.5304657175760656</c:v>
                </c:pt>
                <c:pt idx="19">
                  <c:v>-2.8078910328742626</c:v>
                </c:pt>
                <c:pt idx="20">
                  <c:v>-1.9810650515872384E-15</c:v>
                </c:pt>
                <c:pt idx="21">
                  <c:v>-0.82499999999999996</c:v>
                </c:pt>
                <c:pt idx="22">
                  <c:v>-0.82499999999999996</c:v>
                </c:pt>
                <c:pt idx="23">
                  <c:v>-0.82499999999999996</c:v>
                </c:pt>
                <c:pt idx="24">
                  <c:v>-0.82499999999999996</c:v>
                </c:pt>
                <c:pt idx="25">
                  <c:v>-0.82499999999999996</c:v>
                </c:pt>
                <c:pt idx="26">
                  <c:v>-0.82499999999999996</c:v>
                </c:pt>
                <c:pt idx="27">
                  <c:v>-0.82499999999999996</c:v>
                </c:pt>
                <c:pt idx="28">
                  <c:v>-0.82499999999999996</c:v>
                </c:pt>
                <c:pt idx="29">
                  <c:v>-0.82499999999999996</c:v>
                </c:pt>
                <c:pt idx="30">
                  <c:v>-0.82499999999999996</c:v>
                </c:pt>
                <c:pt idx="31">
                  <c:v>-0.82499999999999996</c:v>
                </c:pt>
                <c:pt idx="32">
                  <c:v>0</c:v>
                </c:pt>
                <c:pt idx="33">
                  <c:v>0</c:v>
                </c:pt>
                <c:pt idx="34">
                  <c:v>-0.82499999999999996</c:v>
                </c:pt>
                <c:pt idx="35">
                  <c:v>-0.82499999999999996</c:v>
                </c:pt>
                <c:pt idx="36">
                  <c:v>-0.82499999999999996</c:v>
                </c:pt>
                <c:pt idx="37">
                  <c:v>-0.82499999999999996</c:v>
                </c:pt>
                <c:pt idx="38">
                  <c:v>-0.82499999999999996</c:v>
                </c:pt>
                <c:pt idx="39">
                  <c:v>-0.82499999999999996</c:v>
                </c:pt>
                <c:pt idx="40">
                  <c:v>-0.82499999999999996</c:v>
                </c:pt>
              </c:numCache>
            </c:numRef>
          </c:yVal>
          <c:bubbleSize>
            <c:numRef>
              <c:f>xyplot!$D$7:$D$49</c:f>
              <c:numCache>
                <c:formatCode>General</c:formatCode>
                <c:ptCount val="4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2">
                  <c:v>3</c:v>
                </c:pt>
                <c:pt idx="13">
                  <c:v>5</c:v>
                </c:pt>
                <c:pt idx="15">
                  <c:v>2</c:v>
                </c:pt>
                <c:pt idx="16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42">
                  <c:v>200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xyplot!$A$7:$A$49</c15:f>
                <c15:dlblRangeCache>
                  <c:ptCount val="43"/>
                  <c:pt idx="0">
                    <c:v>Nomoq</c:v>
                  </c:pt>
                  <c:pt idx="1">
                    <c:v>Hart Print</c:v>
                  </c:pt>
                  <c:pt idx="2">
                    <c:v>Mass Production Digital Printing</c:v>
                  </c:pt>
                  <c:pt idx="3">
                    <c:v>Digitally Printed Ends</c:v>
                  </c:pt>
                  <c:pt idx="6">
                    <c:v>H!gh End</c:v>
                  </c:pt>
                  <c:pt idx="7">
                    <c:v>H!gh End 202 CDL+</c:v>
                  </c:pt>
                  <c:pt idx="8">
                    <c:v>LadyBug</c:v>
                  </c:pt>
                  <c:pt idx="9">
                    <c:v>Laminated Ends</c:v>
                  </c:pt>
                  <c:pt idx="12">
                    <c:v>Canovation</c:v>
                  </c:pt>
                  <c:pt idx="13">
                    <c:v>Hipo</c:v>
                  </c:pt>
                  <c:pt idx="15">
                    <c:v>Slim for NA</c:v>
                  </c:pt>
                  <c:pt idx="16">
                    <c:v>Shot Can</c:v>
                  </c:pt>
                  <c:pt idx="18">
                    <c:v>PET Killer Water Can</c:v>
                  </c:pt>
                  <c:pt idx="19">
                    <c:v>Widget 2.0</c:v>
                  </c:pt>
                  <c:pt idx="20">
                    <c:v>Water for Natural Disasters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0-F6DF-4992-9D96-8F6A0D26BAB1}"/>
            </c:ext>
          </c:extLst>
        </c:ser>
        <c:ser>
          <c:idx val="1"/>
          <c:order val="1"/>
          <c:tx>
            <c:strRef>
              <c:f>xyplot!$A$7:$A$48</c:f>
              <c:strCache>
                <c:ptCount val="42"/>
                <c:pt idx="0">
                  <c:v>Nomoq</c:v>
                </c:pt>
                <c:pt idx="1">
                  <c:v>Hart Print</c:v>
                </c:pt>
                <c:pt idx="2">
                  <c:v>Mass Production Digital Printing</c:v>
                </c:pt>
                <c:pt idx="3">
                  <c:v>Digitally Printed Ends</c:v>
                </c:pt>
                <c:pt idx="6">
                  <c:v>H!gh End</c:v>
                </c:pt>
                <c:pt idx="7">
                  <c:v>H!gh End 202 CDL+</c:v>
                </c:pt>
                <c:pt idx="8">
                  <c:v>LadyBug</c:v>
                </c:pt>
                <c:pt idx="9">
                  <c:v>Laminated Ends</c:v>
                </c:pt>
                <c:pt idx="12">
                  <c:v>Canovation</c:v>
                </c:pt>
                <c:pt idx="13">
                  <c:v>Hipo</c:v>
                </c:pt>
                <c:pt idx="15">
                  <c:v>Slim for NA</c:v>
                </c:pt>
                <c:pt idx="16">
                  <c:v>Shot Can</c:v>
                </c:pt>
                <c:pt idx="18">
                  <c:v>PET Killer Water Can</c:v>
                </c:pt>
                <c:pt idx="19">
                  <c:v>Widget 2.0</c:v>
                </c:pt>
                <c:pt idx="20">
                  <c:v>Water for Natural Disasters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6-C416-437A-9A66-7E37F8DA8292}"/>
              </c:ext>
            </c:extLst>
          </c:dPt>
          <c:dPt>
            <c:idx val="1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7-C416-437A-9A66-7E37F8DA8292}"/>
              </c:ext>
            </c:extLst>
          </c:dPt>
          <c:dPt>
            <c:idx val="2"/>
            <c:invertIfNegative val="0"/>
            <c:bubble3D val="0"/>
            <c:spPr>
              <a:noFill/>
              <a:ln w="2540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  <a:ext uri="{91240B29-F687-4F45-9708-019B960494DF}">
                  <a14:hiddenLine xmlns:a14="http://schemas.microsoft.com/office/drawing/2010/main" w="25400">
                    <a:solidFill>
                      <a:srgbClr val="000000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8-C416-437A-9A66-7E37F8DA8292}"/>
              </c:ext>
            </c:extLst>
          </c:dPt>
          <c:dPt>
            <c:idx val="3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9-C416-437A-9A66-7E37F8DA8292}"/>
              </c:ext>
            </c:extLst>
          </c:dPt>
          <c:dPt>
            <c:idx val="4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A-C416-437A-9A66-7E37F8DA8292}"/>
              </c:ext>
            </c:extLst>
          </c:dPt>
          <c:dPt>
            <c:idx val="5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B-C416-437A-9A66-7E37F8DA8292}"/>
              </c:ext>
            </c:extLst>
          </c:dPt>
          <c:dPt>
            <c:idx val="6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C-C416-437A-9A66-7E37F8DA8292}"/>
              </c:ext>
            </c:extLst>
          </c:dPt>
          <c:dPt>
            <c:idx val="7"/>
            <c:invertIfNegative val="0"/>
            <c:bubble3D val="0"/>
            <c:spPr>
              <a:noFill/>
              <a:ln w="2540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  <a:ext uri="{91240B29-F687-4F45-9708-019B960494DF}">
                  <a14:hiddenLine xmlns:a14="http://schemas.microsoft.com/office/drawing/2010/main" w="25400">
                    <a:solidFill>
                      <a:srgbClr val="000000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D-C416-437A-9A66-7E37F8DA8292}"/>
              </c:ext>
            </c:extLst>
          </c:dPt>
          <c:dPt>
            <c:idx val="8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E-C416-437A-9A66-7E37F8DA8292}"/>
              </c:ext>
            </c:extLst>
          </c:dPt>
          <c:dPt>
            <c:idx val="9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5F-C416-437A-9A66-7E37F8DA8292}"/>
              </c:ext>
            </c:extLst>
          </c:dPt>
          <c:dPt>
            <c:idx val="10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0-C416-437A-9A66-7E37F8DA8292}"/>
              </c:ext>
            </c:extLst>
          </c:dPt>
          <c:dPt>
            <c:idx val="11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1-C416-437A-9A66-7E37F8DA8292}"/>
              </c:ext>
            </c:extLst>
          </c:dPt>
          <c:dPt>
            <c:idx val="12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2-C416-437A-9A66-7E37F8DA8292}"/>
              </c:ext>
            </c:extLst>
          </c:dPt>
          <c:dPt>
            <c:idx val="13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3-C416-437A-9A66-7E37F8DA8292}"/>
              </c:ext>
            </c:extLst>
          </c:dPt>
          <c:dPt>
            <c:idx val="14"/>
            <c:invertIfNegative val="0"/>
            <c:bubble3D val="0"/>
            <c:spPr>
              <a:noFill/>
              <a:ln w="2540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  <a:ext uri="{91240B29-F687-4F45-9708-019B960494DF}">
                  <a14:hiddenLine xmlns:a14="http://schemas.microsoft.com/office/drawing/2010/main" w="25400">
                    <a:solidFill>
                      <a:srgbClr val="000000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4-C416-437A-9A66-7E37F8DA8292}"/>
              </c:ext>
            </c:extLst>
          </c:dPt>
          <c:dPt>
            <c:idx val="15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5-C416-437A-9A66-7E37F8DA8292}"/>
              </c:ext>
            </c:extLst>
          </c:dPt>
          <c:dPt>
            <c:idx val="16"/>
            <c:invertIfNegative val="0"/>
            <c:bubble3D val="0"/>
            <c:spPr>
              <a:noFill/>
              <a:ln w="25400">
                <a:solidFill>
                  <a:srgbClr val="000000"/>
                </a:solidFill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6-C416-437A-9A66-7E37F8DA8292}"/>
              </c:ext>
            </c:extLst>
          </c:dPt>
          <c:dPt>
            <c:idx val="17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7-C416-437A-9A66-7E37F8DA8292}"/>
              </c:ext>
            </c:extLst>
          </c:dPt>
          <c:dPt>
            <c:idx val="18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8-C416-437A-9A66-7E37F8DA8292}"/>
              </c:ext>
            </c:extLst>
          </c:dPt>
          <c:dPt>
            <c:idx val="19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9-C416-437A-9A66-7E37F8DA8292}"/>
              </c:ext>
            </c:extLst>
          </c:dPt>
          <c:dPt>
            <c:idx val="20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A-C416-437A-9A66-7E37F8DA8292}"/>
              </c:ext>
            </c:extLst>
          </c:dPt>
          <c:dPt>
            <c:idx val="21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B-C416-437A-9A66-7E37F8DA8292}"/>
              </c:ext>
            </c:extLst>
          </c:dPt>
          <c:dPt>
            <c:idx val="22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C-C416-437A-9A66-7E37F8DA8292}"/>
              </c:ext>
            </c:extLst>
          </c:dPt>
          <c:dPt>
            <c:idx val="23"/>
            <c:invertIfNegative val="0"/>
            <c:bubble3D val="0"/>
            <c:spPr>
              <a:noFill/>
              <a:ln w="2540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  <a:ext uri="{91240B29-F687-4F45-9708-019B960494DF}">
                  <a14:hiddenLine xmlns:a14="http://schemas.microsoft.com/office/drawing/2010/main" w="25400">
                    <a:solidFill>
                      <a:srgbClr val="000000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D-C416-437A-9A66-7E37F8DA8292}"/>
              </c:ext>
            </c:extLst>
          </c:dPt>
          <c:dPt>
            <c:idx val="24"/>
            <c:invertIfNegative val="0"/>
            <c:bubble3D val="0"/>
            <c:spPr>
              <a:noFill/>
              <a:ln w="2540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  <a:ext uri="{91240B29-F687-4F45-9708-019B960494DF}">
                  <a14:hiddenLine xmlns:a14="http://schemas.microsoft.com/office/drawing/2010/main" w="25400">
                    <a:solidFill>
                      <a:srgbClr val="000000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E-C416-437A-9A66-7E37F8DA8292}"/>
              </c:ext>
            </c:extLst>
          </c:dPt>
          <c:dPt>
            <c:idx val="25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6F-C416-437A-9A66-7E37F8DA8292}"/>
              </c:ext>
            </c:extLst>
          </c:dPt>
          <c:dPt>
            <c:idx val="26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0-C416-437A-9A66-7E37F8DA8292}"/>
              </c:ext>
            </c:extLst>
          </c:dPt>
          <c:dPt>
            <c:idx val="27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1-C416-437A-9A66-7E37F8DA8292}"/>
              </c:ext>
            </c:extLst>
          </c:dPt>
          <c:dPt>
            <c:idx val="28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2-C416-437A-9A66-7E37F8DA8292}"/>
              </c:ext>
            </c:extLst>
          </c:dPt>
          <c:dPt>
            <c:idx val="29"/>
            <c:invertIfNegative val="0"/>
            <c:bubble3D val="0"/>
            <c:spPr>
              <a:noFill/>
              <a:ln w="2540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  <a:ext uri="{91240B29-F687-4F45-9708-019B960494DF}">
                  <a14:hiddenLine xmlns:a14="http://schemas.microsoft.com/office/drawing/2010/main" w="25400">
                    <a:solidFill>
                      <a:srgbClr val="000000"/>
                    </a:solidFill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3-C416-437A-9A66-7E37F8DA8292}"/>
              </c:ext>
            </c:extLst>
          </c:dPt>
          <c:dPt>
            <c:idx val="30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4-C416-437A-9A66-7E37F8DA8292}"/>
              </c:ext>
            </c:extLst>
          </c:dPt>
          <c:dPt>
            <c:idx val="31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5-C416-437A-9A66-7E37F8DA8292}"/>
              </c:ext>
            </c:extLst>
          </c:dPt>
          <c:dPt>
            <c:idx val="32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6-C416-437A-9A66-7E37F8DA8292}"/>
              </c:ext>
            </c:extLst>
          </c:dPt>
          <c:dPt>
            <c:idx val="33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7-C416-437A-9A66-7E37F8DA8292}"/>
              </c:ext>
            </c:extLst>
          </c:dPt>
          <c:dPt>
            <c:idx val="34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8-C416-437A-9A66-7E37F8DA8292}"/>
              </c:ext>
            </c:extLst>
          </c:dPt>
          <c:dPt>
            <c:idx val="35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9-C416-437A-9A66-7E37F8DA8292}"/>
              </c:ext>
            </c:extLst>
          </c:dPt>
          <c:dPt>
            <c:idx val="36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A-C416-437A-9A66-7E37F8DA8292}"/>
              </c:ext>
            </c:extLst>
          </c:dPt>
          <c:dPt>
            <c:idx val="37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B-C416-437A-9A66-7E37F8DA8292}"/>
              </c:ext>
            </c:extLst>
          </c:dPt>
          <c:dPt>
            <c:idx val="38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C-C416-437A-9A66-7E37F8DA8292}"/>
              </c:ext>
            </c:extLst>
          </c:dPt>
          <c:dPt>
            <c:idx val="39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D-C416-437A-9A66-7E37F8DA8292}"/>
              </c:ext>
            </c:extLst>
          </c:dPt>
          <c:dPt>
            <c:idx val="40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E-C416-437A-9A66-7E37F8DA8292}"/>
              </c:ext>
            </c:extLst>
          </c:dPt>
          <c:dPt>
            <c:idx val="41"/>
            <c:invertIfNegative val="0"/>
            <c:bubble3D val="0"/>
            <c:spPr>
              <a:noFill/>
              <a:ln w="25400"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crgbClr r="0" g="0" b="0">
                        <a:alpha val="0"/>
                      </a:scrgbClr>
                    </a:solidFill>
                  </a14:hiddenFill>
                </a:ext>
              </a:extLst>
            </c:spPr>
            <c:extLst>
              <c:ext xmlns:c16="http://schemas.microsoft.com/office/drawing/2014/chart" uri="{C3380CC4-5D6E-409C-BE32-E72D297353CC}">
                <c16:uniqueId val="{0000007F-C416-437A-9A66-7E37F8DA8292}"/>
              </c:ext>
            </c:extLst>
          </c:dPt>
          <c:xVal>
            <c:numRef>
              <c:f>xyplot!$K$7:$K$48</c:f>
              <c:numCache>
                <c:formatCode>0.0</c:formatCode>
                <c:ptCount val="42"/>
                <c:pt idx="0">
                  <c:v>-3.159933327865784</c:v>
                </c:pt>
                <c:pt idx="1">
                  <c:v>-2.2573329459494178</c:v>
                </c:pt>
                <c:pt idx="2">
                  <c:v>-12.892527977692398</c:v>
                </c:pt>
                <c:pt idx="3">
                  <c:v>-7.0125000000000055</c:v>
                </c:pt>
                <c:pt idx="4">
                  <c:v>-5.0537373764980575E-17</c:v>
                </c:pt>
                <c:pt idx="5">
                  <c:v>-5.0537373764980575E-17</c:v>
                </c:pt>
                <c:pt idx="6">
                  <c:v>0.71629873287608792</c:v>
                </c:pt>
                <c:pt idx="7">
                  <c:v>3.1038328006804448</c:v>
                </c:pt>
                <c:pt idx="8">
                  <c:v>4.2423982239311595</c:v>
                </c:pt>
                <c:pt idx="9">
                  <c:v>5.4064034923073452</c:v>
                </c:pt>
                <c:pt idx="10">
                  <c:v>-5.0537373764980575E-17</c:v>
                </c:pt>
                <c:pt idx="11">
                  <c:v>-5.0537373764980575E-17</c:v>
                </c:pt>
                <c:pt idx="12">
                  <c:v>12.403942594373991</c:v>
                </c:pt>
                <c:pt idx="13">
                  <c:v>1.410833091218384</c:v>
                </c:pt>
                <c:pt idx="14">
                  <c:v>-5.0537373764980575E-17</c:v>
                </c:pt>
                <c:pt idx="15">
                  <c:v>-3.1038328006804434</c:v>
                </c:pt>
                <c:pt idx="16">
                  <c:v>-5.8332975579053441</c:v>
                </c:pt>
                <c:pt idx="17">
                  <c:v>-5.0537373764980575E-17</c:v>
                </c:pt>
                <c:pt idx="18">
                  <c:v>-15.194829678108139</c:v>
                </c:pt>
                <c:pt idx="19">
                  <c:v>-15.924341366207404</c:v>
                </c:pt>
                <c:pt idx="20">
                  <c:v>-16.170000000000002</c:v>
                </c:pt>
                <c:pt idx="21">
                  <c:v>-5.0537373764980575E-17</c:v>
                </c:pt>
                <c:pt idx="22">
                  <c:v>-5.0537373764980575E-17</c:v>
                </c:pt>
                <c:pt idx="23">
                  <c:v>-5.0537373764980575E-17</c:v>
                </c:pt>
                <c:pt idx="24">
                  <c:v>-5.0537373764980575E-17</c:v>
                </c:pt>
                <c:pt idx="25">
                  <c:v>-5.0537373764980575E-17</c:v>
                </c:pt>
                <c:pt idx="26">
                  <c:v>-5.0537373764980575E-17</c:v>
                </c:pt>
                <c:pt idx="27">
                  <c:v>-5.0537373764980575E-17</c:v>
                </c:pt>
                <c:pt idx="28">
                  <c:v>-5.0537373764980575E-17</c:v>
                </c:pt>
                <c:pt idx="29">
                  <c:v>-5.0537373764980575E-17</c:v>
                </c:pt>
                <c:pt idx="30">
                  <c:v>-5.0537373764980575E-17</c:v>
                </c:pt>
                <c:pt idx="31">
                  <c:v>-5.0537373764980575E-17</c:v>
                </c:pt>
                <c:pt idx="32">
                  <c:v>0</c:v>
                </c:pt>
                <c:pt idx="33">
                  <c:v>0</c:v>
                </c:pt>
                <c:pt idx="34">
                  <c:v>-5.0537373764980575E-17</c:v>
                </c:pt>
                <c:pt idx="35">
                  <c:v>-5.0537373764980575E-17</c:v>
                </c:pt>
                <c:pt idx="36">
                  <c:v>-5.0537373764980575E-17</c:v>
                </c:pt>
                <c:pt idx="37">
                  <c:v>-5.0537373764980575E-17</c:v>
                </c:pt>
                <c:pt idx="38">
                  <c:v>-5.0537373764980575E-17</c:v>
                </c:pt>
                <c:pt idx="39">
                  <c:v>-5.0537373764980575E-17</c:v>
                </c:pt>
                <c:pt idx="40">
                  <c:v>-5.0537373764980575E-17</c:v>
                </c:pt>
              </c:numCache>
            </c:numRef>
          </c:xVal>
          <c:yVal>
            <c:numRef>
              <c:f>xyplot!$L$7:$L$48</c:f>
              <c:numCache>
                <c:formatCode>0.0</c:formatCode>
                <c:ptCount val="42"/>
                <c:pt idx="0">
                  <c:v>2.6514988899569745</c:v>
                </c:pt>
                <c:pt idx="1">
                  <c:v>6.2019712971869936</c:v>
                </c:pt>
                <c:pt idx="2">
                  <c:v>10.818115471024454</c:v>
                </c:pt>
                <c:pt idx="3">
                  <c:v>12.146006288076746</c:v>
                </c:pt>
                <c:pt idx="4">
                  <c:v>-0.82499999999999996</c:v>
                </c:pt>
                <c:pt idx="5">
                  <c:v>-0.82499999999999996</c:v>
                </c:pt>
                <c:pt idx="6">
                  <c:v>4.0623319811753573</c:v>
                </c:pt>
                <c:pt idx="7">
                  <c:v>8.5277105336321188</c:v>
                </c:pt>
                <c:pt idx="8">
                  <c:v>5.0558933245852549</c:v>
                </c:pt>
                <c:pt idx="9">
                  <c:v>3.7856044799169037</c:v>
                </c:pt>
                <c:pt idx="10">
                  <c:v>-0.82499999999999996</c:v>
                </c:pt>
                <c:pt idx="11">
                  <c:v>-0.82499999999999996</c:v>
                </c:pt>
                <c:pt idx="12">
                  <c:v>-4.5146658918988267</c:v>
                </c:pt>
                <c:pt idx="13">
                  <c:v>-3.8762320607418719</c:v>
                </c:pt>
                <c:pt idx="14">
                  <c:v>-0.82499999999999996</c:v>
                </c:pt>
                <c:pt idx="15">
                  <c:v>-8.5277105336321188</c:v>
                </c:pt>
                <c:pt idx="16">
                  <c:v>-6.9518533213047249</c:v>
                </c:pt>
                <c:pt idx="17">
                  <c:v>-0.82499999999999996</c:v>
                </c:pt>
                <c:pt idx="18">
                  <c:v>-5.5304657175760656</c:v>
                </c:pt>
                <c:pt idx="19">
                  <c:v>-2.8078910328742626</c:v>
                </c:pt>
                <c:pt idx="20">
                  <c:v>-1.9810650515872384E-15</c:v>
                </c:pt>
                <c:pt idx="21">
                  <c:v>-0.82499999999999996</c:v>
                </c:pt>
                <c:pt idx="22">
                  <c:v>-0.82499999999999996</c:v>
                </c:pt>
                <c:pt idx="23">
                  <c:v>-0.82499999999999996</c:v>
                </c:pt>
                <c:pt idx="24">
                  <c:v>-0.82499999999999996</c:v>
                </c:pt>
                <c:pt idx="25">
                  <c:v>-0.82499999999999996</c:v>
                </c:pt>
                <c:pt idx="26">
                  <c:v>-0.82499999999999996</c:v>
                </c:pt>
                <c:pt idx="27">
                  <c:v>-0.82499999999999996</c:v>
                </c:pt>
                <c:pt idx="28">
                  <c:v>-0.82499999999999996</c:v>
                </c:pt>
                <c:pt idx="29">
                  <c:v>-0.82499999999999996</c:v>
                </c:pt>
                <c:pt idx="30">
                  <c:v>-0.82499999999999996</c:v>
                </c:pt>
                <c:pt idx="31">
                  <c:v>-0.82499999999999996</c:v>
                </c:pt>
                <c:pt idx="32">
                  <c:v>0</c:v>
                </c:pt>
                <c:pt idx="33">
                  <c:v>0</c:v>
                </c:pt>
                <c:pt idx="34">
                  <c:v>-0.82499999999999996</c:v>
                </c:pt>
                <c:pt idx="35">
                  <c:v>-0.82499999999999996</c:v>
                </c:pt>
                <c:pt idx="36">
                  <c:v>-0.82499999999999996</c:v>
                </c:pt>
                <c:pt idx="37">
                  <c:v>-0.82499999999999996</c:v>
                </c:pt>
                <c:pt idx="38">
                  <c:v>-0.82499999999999996</c:v>
                </c:pt>
                <c:pt idx="39">
                  <c:v>-0.82499999999999996</c:v>
                </c:pt>
                <c:pt idx="40">
                  <c:v>-0.82499999999999996</c:v>
                </c:pt>
              </c:numCache>
            </c:numRef>
          </c:yVal>
          <c:bubbleSize>
            <c:numRef>
              <c:f>xyplot!$M$7:$M$49</c:f>
              <c:numCache>
                <c:formatCode>General</c:formatCode>
                <c:ptCount val="43"/>
                <c:pt idx="0">
                  <c:v>5</c:v>
                </c:pt>
                <c:pt idx="1">
                  <c:v>5</c:v>
                </c:pt>
                <c:pt idx="2">
                  <c:v>7.5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7.5</c:v>
                </c:pt>
                <c:pt idx="13">
                  <c:v>12.5</c:v>
                </c:pt>
                <c:pt idx="14">
                  <c:v>0</c:v>
                </c:pt>
                <c:pt idx="15">
                  <c:v>5</c:v>
                </c:pt>
                <c:pt idx="16">
                  <c:v>5</c:v>
                </c:pt>
                <c:pt idx="17">
                  <c:v>0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55-C416-437A-9A66-7E37F8DA8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840121440"/>
        <c:axId val="840119800"/>
      </c:bubbleChart>
      <c:valAx>
        <c:axId val="840121440"/>
        <c:scaling>
          <c:orientation val="minMax"/>
          <c:max val="20"/>
          <c:min val="-20"/>
        </c:scaling>
        <c:delete val="1"/>
        <c:axPos val="b"/>
        <c:numFmt formatCode="0.0" sourceLinked="1"/>
        <c:majorTickMark val="none"/>
        <c:minorTickMark val="none"/>
        <c:tickLblPos val="nextTo"/>
        <c:crossAx val="840119800"/>
        <c:crosses val="autoZero"/>
        <c:crossBetween val="midCat"/>
      </c:valAx>
      <c:valAx>
        <c:axId val="840119800"/>
        <c:scaling>
          <c:orientation val="minMax"/>
          <c:max val="20"/>
          <c:min val="-20"/>
        </c:scaling>
        <c:delete val="1"/>
        <c:axPos val="l"/>
        <c:numFmt formatCode="0.0" sourceLinked="1"/>
        <c:majorTickMark val="none"/>
        <c:minorTickMark val="none"/>
        <c:tickLblPos val="nextTo"/>
        <c:crossAx val="84012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571499</xdr:colOff>
      <xdr:row>13</xdr:row>
      <xdr:rowOff>180974</xdr:rowOff>
    </xdr:from>
    <xdr:to>
      <xdr:col>0</xdr:col>
      <xdr:colOff>937259</xdr:colOff>
      <xdr:row>15</xdr:row>
      <xdr:rowOff>74294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AA75ABA-142B-AD22-967A-5C68839EFE56}"/>
            </a:ext>
          </a:extLst>
        </xdr:cNvPr>
        <xdr:cNvSpPr/>
      </xdr:nvSpPr>
      <xdr:spPr>
        <a:xfrm>
          <a:off x="571499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1.</a:t>
          </a:r>
        </a:p>
      </xdr:txBody>
    </xdr:sp>
    <xdr:clientData/>
  </xdr:twoCellAnchor>
  <xdr:twoCellAnchor>
    <xdr:from>
      <xdr:col>1</xdr:col>
      <xdr:colOff>514349</xdr:colOff>
      <xdr:row>13</xdr:row>
      <xdr:rowOff>180974</xdr:rowOff>
    </xdr:from>
    <xdr:to>
      <xdr:col>1</xdr:col>
      <xdr:colOff>880109</xdr:colOff>
      <xdr:row>15</xdr:row>
      <xdr:rowOff>74294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4135EFB-D5B1-4B81-A288-AAB11FEE32C4}"/>
            </a:ext>
          </a:extLst>
        </xdr:cNvPr>
        <xdr:cNvSpPr/>
      </xdr:nvSpPr>
      <xdr:spPr>
        <a:xfrm>
          <a:off x="2305049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2.</a:t>
          </a:r>
        </a:p>
      </xdr:txBody>
    </xdr:sp>
    <xdr:clientData/>
  </xdr:twoCellAnchor>
  <xdr:twoCellAnchor>
    <xdr:from>
      <xdr:col>2</xdr:col>
      <xdr:colOff>180974</xdr:colOff>
      <xdr:row>13</xdr:row>
      <xdr:rowOff>180974</xdr:rowOff>
    </xdr:from>
    <xdr:to>
      <xdr:col>2</xdr:col>
      <xdr:colOff>546734</xdr:colOff>
      <xdr:row>15</xdr:row>
      <xdr:rowOff>74294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4FD4D0F-BEDD-4F9F-88E9-0148DA756E7E}"/>
            </a:ext>
          </a:extLst>
        </xdr:cNvPr>
        <xdr:cNvSpPr/>
      </xdr:nvSpPr>
      <xdr:spPr>
        <a:xfrm>
          <a:off x="5610224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3.</a:t>
          </a:r>
        </a:p>
      </xdr:txBody>
    </xdr:sp>
    <xdr:clientData/>
  </xdr:twoCellAnchor>
  <xdr:twoCellAnchor>
    <xdr:from>
      <xdr:col>3</xdr:col>
      <xdr:colOff>676274</xdr:colOff>
      <xdr:row>13</xdr:row>
      <xdr:rowOff>180974</xdr:rowOff>
    </xdr:from>
    <xdr:to>
      <xdr:col>3</xdr:col>
      <xdr:colOff>1042034</xdr:colOff>
      <xdr:row>15</xdr:row>
      <xdr:rowOff>74294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74A136-7BA4-4533-BF98-B79491A426F8}"/>
            </a:ext>
          </a:extLst>
        </xdr:cNvPr>
        <xdr:cNvSpPr/>
      </xdr:nvSpPr>
      <xdr:spPr>
        <a:xfrm>
          <a:off x="6715124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4.</a:t>
          </a:r>
        </a:p>
      </xdr:txBody>
    </xdr:sp>
    <xdr:clientData/>
  </xdr:twoCellAnchor>
  <xdr:twoCellAnchor>
    <xdr:from>
      <xdr:col>4</xdr:col>
      <xdr:colOff>609599</xdr:colOff>
      <xdr:row>13</xdr:row>
      <xdr:rowOff>180974</xdr:rowOff>
    </xdr:from>
    <xdr:to>
      <xdr:col>4</xdr:col>
      <xdr:colOff>975359</xdr:colOff>
      <xdr:row>15</xdr:row>
      <xdr:rowOff>74294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4C6C9F9A-7715-484D-9C27-3AC65506AB1C}"/>
            </a:ext>
          </a:extLst>
        </xdr:cNvPr>
        <xdr:cNvSpPr/>
      </xdr:nvSpPr>
      <xdr:spPr>
        <a:xfrm>
          <a:off x="8124824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5.</a:t>
          </a:r>
        </a:p>
      </xdr:txBody>
    </xdr:sp>
    <xdr:clientData/>
  </xdr:twoCellAnchor>
  <xdr:twoCellAnchor>
    <xdr:from>
      <xdr:col>5</xdr:col>
      <xdr:colOff>342899</xdr:colOff>
      <xdr:row>13</xdr:row>
      <xdr:rowOff>180974</xdr:rowOff>
    </xdr:from>
    <xdr:to>
      <xdr:col>5</xdr:col>
      <xdr:colOff>708659</xdr:colOff>
      <xdr:row>15</xdr:row>
      <xdr:rowOff>74294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CE585B-A34C-29C0-3F05-C1451EEDD4D8}"/>
            </a:ext>
          </a:extLst>
        </xdr:cNvPr>
        <xdr:cNvSpPr/>
      </xdr:nvSpPr>
      <xdr:spPr>
        <a:xfrm>
          <a:off x="9305924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6.</a:t>
          </a:r>
        </a:p>
      </xdr:txBody>
    </xdr:sp>
    <xdr:clientData/>
  </xdr:twoCellAnchor>
  <xdr:twoCellAnchor>
    <xdr:from>
      <xdr:col>6</xdr:col>
      <xdr:colOff>142874</xdr:colOff>
      <xdr:row>13</xdr:row>
      <xdr:rowOff>180974</xdr:rowOff>
    </xdr:from>
    <xdr:to>
      <xdr:col>6</xdr:col>
      <xdr:colOff>508634</xdr:colOff>
      <xdr:row>15</xdr:row>
      <xdr:rowOff>74294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263701-27FE-4D75-A487-C5852AB8C13B}"/>
            </a:ext>
          </a:extLst>
        </xdr:cNvPr>
        <xdr:cNvSpPr/>
      </xdr:nvSpPr>
      <xdr:spPr>
        <a:xfrm>
          <a:off x="10020299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7.</a:t>
          </a:r>
        </a:p>
      </xdr:txBody>
    </xdr:sp>
    <xdr:clientData/>
  </xdr:twoCellAnchor>
  <xdr:twoCellAnchor>
    <xdr:from>
      <xdr:col>7</xdr:col>
      <xdr:colOff>352424</xdr:colOff>
      <xdr:row>13</xdr:row>
      <xdr:rowOff>180974</xdr:rowOff>
    </xdr:from>
    <xdr:to>
      <xdr:col>7</xdr:col>
      <xdr:colOff>718184</xdr:colOff>
      <xdr:row>15</xdr:row>
      <xdr:rowOff>74294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2E12CCE-D4D1-41C2-949F-DC794B37AC52}"/>
            </a:ext>
          </a:extLst>
        </xdr:cNvPr>
        <xdr:cNvSpPr/>
      </xdr:nvSpPr>
      <xdr:spPr>
        <a:xfrm>
          <a:off x="10753724" y="2657474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8.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14</xdr:row>
          <xdr:rowOff>142875</xdr:rowOff>
        </xdr:from>
        <xdr:to>
          <xdr:col>10</xdr:col>
          <xdr:colOff>466725</xdr:colOff>
          <xdr:row>17</xdr:row>
          <xdr:rowOff>9525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B88ABF04-B836-B883-600F-9E0680D77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95249</xdr:colOff>
      <xdr:row>13</xdr:row>
      <xdr:rowOff>190499</xdr:rowOff>
    </xdr:from>
    <xdr:to>
      <xdr:col>9</xdr:col>
      <xdr:colOff>461009</xdr:colOff>
      <xdr:row>15</xdr:row>
      <xdr:rowOff>83819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FFEABC7-4415-4FF9-A6AF-643DE00BA88A}"/>
            </a:ext>
          </a:extLst>
        </xdr:cNvPr>
        <xdr:cNvSpPr/>
      </xdr:nvSpPr>
      <xdr:spPr>
        <a:xfrm>
          <a:off x="12134849" y="2666999"/>
          <a:ext cx="365760" cy="27432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9.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13608</xdr:colOff>
      <xdr:row>4</xdr:row>
      <xdr:rowOff>231322</xdr:rowOff>
    </xdr:from>
    <xdr:to>
      <xdr:col>33</xdr:col>
      <xdr:colOff>154192</xdr:colOff>
      <xdr:row>47</xdr:row>
      <xdr:rowOff>81643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808701E-1D9E-3C39-A716-370F47FF45E6}"/>
            </a:ext>
          </a:extLst>
        </xdr:cNvPr>
        <xdr:cNvGrpSpPr/>
      </xdr:nvGrpSpPr>
      <xdr:grpSpPr>
        <a:xfrm>
          <a:off x="10137322" y="231322"/>
          <a:ext cx="11774691" cy="10314214"/>
          <a:chOff x="11803809" y="0"/>
          <a:chExt cx="9368216" cy="8898896"/>
        </a:xfrm>
      </xdr:grpSpPr>
      <xdr:graphicFrame macro="[0]!CustomizeBullseyeChart">
        <xdr:nvGraphicFramePr>
          <xdr:cNvPr id="3" name="Chart 1">
            <a:extLst>
              <a:ext uri="{FF2B5EF4-FFF2-40B4-BE49-F238E27FC236}">
                <a16:creationId xmlns:a16="http://schemas.microsoft.com/office/drawing/2014/main" id="{44E76E7E-A78B-4320-BCFF-EE8F9CF6E0B7}"/>
              </a:ext>
            </a:extLst>
          </xdr:cNvPr>
          <xdr:cNvGraphicFramePr>
            <a:graphicFrameLocks noChangeAspect="1"/>
          </xdr:cNvGraphicFramePr>
        </xdr:nvGraphicFramePr>
        <xdr:xfrm>
          <a:off x="11803809" y="0"/>
          <a:ext cx="8762741" cy="88988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18" name="TextBox120">
            <a:extLst>
              <a:ext uri="{FF2B5EF4-FFF2-40B4-BE49-F238E27FC236}">
                <a16:creationId xmlns:a16="http://schemas.microsoft.com/office/drawing/2014/main" id="{4FCD43FA-394B-4010-A555-669DB1F8E155}"/>
              </a:ext>
            </a:extLst>
          </xdr:cNvPr>
          <xdr:cNvSpPr txBox="1"/>
        </xdr:nvSpPr>
        <xdr:spPr>
          <a:xfrm rot="19553189">
            <a:off x="16338580" y="7233477"/>
            <a:ext cx="4833445" cy="23156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50000"/>
              </a:prstClr>
            </a:outerShdw>
          </a:effectLst>
        </xdr:spPr>
        <xdr:txBody>
          <a:bodyPr spcFirstLastPara="1" wrap="square" numCol="1" rtlCol="0" anchor="ctr">
            <a:prstTxWarp prst="textArchDown">
              <a:avLst>
                <a:gd name="adj" fmla="val 549496"/>
              </a:avLst>
            </a:prstTxWarp>
          </a:bodyPr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en-US" sz="200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Resealable Can (Non-metal Parts)</a:t>
            </a:r>
            <a:endParaRPr lang="en-US" sz="4000">
              <a:solidFill>
                <a:schemeClr val="tx1">
                  <a:lumMod val="65000"/>
                  <a:lumOff val="35000"/>
                </a:schemeClr>
              </a:solidFill>
              <a:effectLst/>
            </a:endParaRPr>
          </a:p>
        </xdr:txBody>
      </xdr:sp>
    </xdr:grpSp>
    <xdr:clientData/>
  </xdr:twoCellAnchor>
  <xdr:twoCellAnchor>
    <xdr:from>
      <xdr:col>17</xdr:col>
      <xdr:colOff>122464</xdr:colOff>
      <xdr:row>25</xdr:row>
      <xdr:rowOff>221470</xdr:rowOff>
    </xdr:from>
    <xdr:to>
      <xdr:col>22</xdr:col>
      <xdr:colOff>138710</xdr:colOff>
      <xdr:row>34</xdr:row>
      <xdr:rowOff>108857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24B247D9-3CEB-4886-9101-E8BE878D388E}"/>
            </a:ext>
          </a:extLst>
        </xdr:cNvPr>
        <xdr:cNvCxnSpPr/>
      </xdr:nvCxnSpPr>
      <xdr:spPr>
        <a:xfrm flipV="1">
          <a:off x="14573250" y="5664327"/>
          <a:ext cx="3077853" cy="2091744"/>
        </a:xfrm>
        <a:prstGeom prst="line">
          <a:avLst/>
        </a:prstGeom>
        <a:ln w="9525">
          <a:solidFill>
            <a:schemeClr val="bg1">
              <a:lumMod val="50000"/>
              <a:alpha val="54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371958</xdr:colOff>
      <xdr:row>15</xdr:row>
      <xdr:rowOff>164224</xdr:rowOff>
    </xdr:from>
    <xdr:to>
      <xdr:col>15</xdr:col>
      <xdr:colOff>136074</xdr:colOff>
      <xdr:row>34</xdr:row>
      <xdr:rowOff>151214</xdr:rowOff>
    </xdr:to>
    <xdr:sp macro="[0]!CustomizeBullseyeChart" textlink="">
      <xdr:nvSpPr>
        <xdr:cNvPr id="17" name="TextBox240">
          <a:extLst>
            <a:ext uri="{FF2B5EF4-FFF2-40B4-BE49-F238E27FC236}">
              <a16:creationId xmlns:a16="http://schemas.microsoft.com/office/drawing/2014/main" id="{06662584-14E2-401C-AA19-A4403C4E9896}"/>
            </a:ext>
          </a:extLst>
        </xdr:cNvPr>
        <xdr:cNvSpPr txBox="1"/>
      </xdr:nvSpPr>
      <xdr:spPr>
        <a:xfrm rot="16200000">
          <a:off x="8227503" y="5289893"/>
          <a:ext cx="4640633" cy="376437"/>
        </a:xfrm>
        <a:prstGeom prst="rect">
          <a:avLst/>
        </a:prstGeom>
        <a:noFill/>
        <a:ln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50000"/>
            </a:prstClr>
          </a:outerShdw>
        </a:effectLst>
      </xdr:spPr>
      <xdr:txBody>
        <a:bodyPr spcFirstLastPara="1" wrap="square" numCol="1" rtlCol="0" anchor="ctr">
          <a:prstTxWarp prst="textArchDown">
            <a:avLst>
              <a:gd name="adj" fmla="val 326435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0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Special Applications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32</xdr:col>
      <xdr:colOff>122465</xdr:colOff>
      <xdr:row>23</xdr:row>
      <xdr:rowOff>95249</xdr:rowOff>
    </xdr:from>
    <xdr:to>
      <xdr:col>37</xdr:col>
      <xdr:colOff>489857</xdr:colOff>
      <xdr:row>44</xdr:row>
      <xdr:rowOff>95250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2E83382C-6DD9-58A6-903A-CDB7C8CA3BE8}"/>
            </a:ext>
          </a:extLst>
        </xdr:cNvPr>
        <xdr:cNvGrpSpPr/>
      </xdr:nvGrpSpPr>
      <xdr:grpSpPr>
        <a:xfrm>
          <a:off x="21267965" y="5048249"/>
          <a:ext cx="3428999" cy="4898572"/>
          <a:chOff x="20982215" y="4095750"/>
          <a:chExt cx="3429000" cy="489857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DA1FEDB2-DE14-A389-A0E8-63AE77BFE07F}"/>
              </a:ext>
            </a:extLst>
          </xdr:cNvPr>
          <xdr:cNvSpPr/>
        </xdr:nvSpPr>
        <xdr:spPr>
          <a:xfrm>
            <a:off x="20982215" y="4095750"/>
            <a:ext cx="3429000" cy="4898571"/>
          </a:xfrm>
          <a:prstGeom prst="roundRect">
            <a:avLst/>
          </a:prstGeom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>
                <a:solidFill>
                  <a:srgbClr val="002060"/>
                </a:solidFill>
              </a:rPr>
              <a:t>Color</a:t>
            </a:r>
            <a:r>
              <a:rPr lang="en-US" sz="1600" b="1" baseline="0">
                <a:solidFill>
                  <a:srgbClr val="002060"/>
                </a:solidFill>
              </a:rPr>
              <a:t> of the spheres:</a:t>
            </a:r>
          </a:p>
          <a:p>
            <a:pPr algn="l"/>
            <a:endParaRPr lang="en-US" sz="1600" baseline="0">
              <a:solidFill>
                <a:srgbClr val="002060"/>
              </a:solidFill>
            </a:endParaRPr>
          </a:p>
          <a:p>
            <a:pPr algn="l"/>
            <a:r>
              <a:rPr lang="en-US" sz="1600" u="sng" baseline="0">
                <a:solidFill>
                  <a:srgbClr val="002060"/>
                </a:solidFill>
              </a:rPr>
              <a:t>Stage Gate Status</a:t>
            </a:r>
          </a:p>
          <a:p>
            <a:pPr algn="l"/>
            <a:endParaRPr lang="en-US" sz="1600" baseline="0">
              <a:solidFill>
                <a:srgbClr val="002060"/>
              </a:solidFill>
            </a:endParaRPr>
          </a:p>
          <a:p>
            <a:pPr algn="l"/>
            <a:r>
              <a:rPr lang="en-US" sz="1600" baseline="0">
                <a:solidFill>
                  <a:srgbClr val="002060"/>
                </a:solidFill>
              </a:rPr>
              <a:t>            </a:t>
            </a:r>
            <a:r>
              <a:rPr lang="en-US" sz="1600">
                <a:solidFill>
                  <a:srgbClr val="002060"/>
                </a:solidFill>
              </a:rPr>
              <a:t>Ideation</a:t>
            </a:r>
          </a:p>
          <a:p>
            <a:pPr algn="l"/>
            <a:endParaRPr lang="en-US" sz="1600">
              <a:solidFill>
                <a:srgbClr val="002060"/>
              </a:solidFill>
            </a:endParaRPr>
          </a:p>
          <a:p>
            <a:pPr algn="l"/>
            <a:r>
              <a:rPr lang="en-US" sz="16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rPr>
              <a:t>             </a:t>
            </a:r>
            <a:r>
              <a:rPr lang="en-US" sz="1600">
                <a:solidFill>
                  <a:srgbClr val="002060"/>
                </a:solidFill>
              </a:rPr>
              <a:t>Stage</a:t>
            </a:r>
            <a:r>
              <a:rPr lang="en-US" sz="1600" baseline="0">
                <a:solidFill>
                  <a:srgbClr val="002060"/>
                </a:solidFill>
              </a:rPr>
              <a:t> 1 - Concept</a:t>
            </a:r>
          </a:p>
          <a:p>
            <a:endParaRPr lang="en-US" sz="1600">
              <a:solidFill>
                <a:srgbClr val="002060"/>
              </a:solidFill>
              <a:effectLst/>
            </a:endParaRPr>
          </a:p>
          <a:p>
            <a:r>
              <a:rPr lang="en-US" sz="16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rPr>
              <a:t>             Stage 2 - Design</a:t>
            </a:r>
          </a:p>
          <a:p>
            <a:endParaRPr lang="en-US" sz="1600">
              <a:solidFill>
                <a:srgbClr val="002060"/>
              </a:solidFill>
              <a:effectLst/>
            </a:endParaRPr>
          </a:p>
          <a:p>
            <a:r>
              <a:rPr lang="en-US" sz="16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rPr>
              <a:t>             Stage 3 - Prototyping</a:t>
            </a:r>
          </a:p>
          <a:p>
            <a:endParaRPr lang="en-US" sz="1600">
              <a:solidFill>
                <a:srgbClr val="002060"/>
              </a:solidFill>
              <a:effectLst/>
            </a:endParaRPr>
          </a:p>
          <a:p>
            <a:r>
              <a:rPr lang="en-US" sz="16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rPr>
              <a:t>             Stage 4 - Commissioning</a:t>
            </a:r>
          </a:p>
          <a:p>
            <a:endParaRPr lang="en-US" sz="1600">
              <a:solidFill>
                <a:srgbClr val="002060"/>
              </a:solidFill>
              <a:effectLst/>
            </a:endParaRPr>
          </a:p>
          <a:p>
            <a:r>
              <a:rPr lang="en-US" sz="16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rPr>
              <a:t>             Stage 5 - Commercialization</a:t>
            </a:r>
          </a:p>
          <a:p>
            <a:endParaRPr lang="en-US" sz="1600">
              <a:solidFill>
                <a:srgbClr val="002060"/>
              </a:solidFill>
              <a:effectLst/>
            </a:endParaRPr>
          </a:p>
          <a:p>
            <a:r>
              <a:rPr lang="en-US" sz="16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rPr>
              <a:t>             Stage 6 - Stopped</a:t>
            </a:r>
            <a:endParaRPr lang="en-US" sz="1600">
              <a:solidFill>
                <a:srgbClr val="002060"/>
              </a:solidFill>
            </a:endParaRPr>
          </a:p>
        </xdr:txBody>
      </xdr:sp>
      <xdr:sp macro="" textlink="">
        <xdr:nvSpPr>
          <xdr:cNvPr id="20" name="Flowchart: Connector 19">
            <a:extLst>
              <a:ext uri="{FF2B5EF4-FFF2-40B4-BE49-F238E27FC236}">
                <a16:creationId xmlns:a16="http://schemas.microsoft.com/office/drawing/2014/main" id="{D4BD0B79-75BF-45E2-9EF8-15086633412B}"/>
              </a:ext>
            </a:extLst>
          </xdr:cNvPr>
          <xdr:cNvSpPr/>
        </xdr:nvSpPr>
        <xdr:spPr>
          <a:xfrm>
            <a:off x="21354702" y="5288308"/>
            <a:ext cx="274320" cy="274320"/>
          </a:xfrm>
          <a:prstGeom prst="flowChartConnector">
            <a:avLst/>
          </a:prstGeom>
          <a:solidFill>
            <a:srgbClr val="CCFFFF"/>
          </a:solidFill>
          <a:ln>
            <a:solidFill>
              <a:srgbClr val="2E75B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" name="Flowchart: Connector 11">
            <a:extLst>
              <a:ext uri="{FF2B5EF4-FFF2-40B4-BE49-F238E27FC236}">
                <a16:creationId xmlns:a16="http://schemas.microsoft.com/office/drawing/2014/main" id="{2D4F3CDC-A086-4A22-8410-C3417576DADA}"/>
              </a:ext>
            </a:extLst>
          </xdr:cNvPr>
          <xdr:cNvSpPr/>
        </xdr:nvSpPr>
        <xdr:spPr>
          <a:xfrm>
            <a:off x="21354702" y="5780887"/>
            <a:ext cx="274320" cy="274320"/>
          </a:xfrm>
          <a:prstGeom prst="flowChartConnector">
            <a:avLst/>
          </a:prstGeom>
          <a:solidFill>
            <a:srgbClr val="16EBF6"/>
          </a:solidFill>
          <a:ln>
            <a:solidFill>
              <a:srgbClr val="2E75B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3" name="Flowchart: Connector 12">
            <a:extLst>
              <a:ext uri="{FF2B5EF4-FFF2-40B4-BE49-F238E27FC236}">
                <a16:creationId xmlns:a16="http://schemas.microsoft.com/office/drawing/2014/main" id="{B929C40A-554F-4B57-B75C-939222C9B75C}"/>
              </a:ext>
            </a:extLst>
          </xdr:cNvPr>
          <xdr:cNvSpPr/>
        </xdr:nvSpPr>
        <xdr:spPr>
          <a:xfrm>
            <a:off x="21354702" y="6273465"/>
            <a:ext cx="274320" cy="274320"/>
          </a:xfrm>
          <a:prstGeom prst="flowChartConnector">
            <a:avLst/>
          </a:prstGeom>
          <a:solidFill>
            <a:srgbClr val="9CC3E5"/>
          </a:solidFill>
          <a:ln>
            <a:solidFill>
              <a:srgbClr val="2E75B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2" name="Flowchart: Connector 21">
            <a:extLst>
              <a:ext uri="{FF2B5EF4-FFF2-40B4-BE49-F238E27FC236}">
                <a16:creationId xmlns:a16="http://schemas.microsoft.com/office/drawing/2014/main" id="{9A2C2325-AFE2-4B75-B8F9-66581778E238}"/>
              </a:ext>
            </a:extLst>
          </xdr:cNvPr>
          <xdr:cNvSpPr/>
        </xdr:nvSpPr>
        <xdr:spPr>
          <a:xfrm>
            <a:off x="21354702" y="6766043"/>
            <a:ext cx="274320" cy="274320"/>
          </a:xfrm>
          <a:prstGeom prst="flowChartConnector">
            <a:avLst/>
          </a:prstGeom>
          <a:solidFill>
            <a:srgbClr val="2E75B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Flowchart: Connector 22">
            <a:extLst>
              <a:ext uri="{FF2B5EF4-FFF2-40B4-BE49-F238E27FC236}">
                <a16:creationId xmlns:a16="http://schemas.microsoft.com/office/drawing/2014/main" id="{B5F15759-47DF-4A1E-9865-F1D12B112663}"/>
              </a:ext>
            </a:extLst>
          </xdr:cNvPr>
          <xdr:cNvSpPr/>
        </xdr:nvSpPr>
        <xdr:spPr>
          <a:xfrm>
            <a:off x="21354702" y="7285835"/>
            <a:ext cx="274320" cy="274320"/>
          </a:xfrm>
          <a:prstGeom prst="flowChartConnector">
            <a:avLst/>
          </a:prstGeom>
          <a:solidFill>
            <a:srgbClr val="FFD96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Flowchart: Connector 24">
            <a:extLst>
              <a:ext uri="{FF2B5EF4-FFF2-40B4-BE49-F238E27FC236}">
                <a16:creationId xmlns:a16="http://schemas.microsoft.com/office/drawing/2014/main" id="{04B0B62E-63E7-4318-B520-50E39C6B6645}"/>
              </a:ext>
            </a:extLst>
          </xdr:cNvPr>
          <xdr:cNvSpPr/>
        </xdr:nvSpPr>
        <xdr:spPr>
          <a:xfrm>
            <a:off x="21354702" y="7764807"/>
            <a:ext cx="274320" cy="274320"/>
          </a:xfrm>
          <a:prstGeom prst="flowChartConnector">
            <a:avLst/>
          </a:prstGeom>
          <a:solidFill>
            <a:srgbClr val="92D05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Flowchart: Connector 25">
            <a:extLst>
              <a:ext uri="{FF2B5EF4-FFF2-40B4-BE49-F238E27FC236}">
                <a16:creationId xmlns:a16="http://schemas.microsoft.com/office/drawing/2014/main" id="{49FE9EBC-C6DF-4524-A726-FA8BAAEC6673}"/>
              </a:ext>
            </a:extLst>
          </xdr:cNvPr>
          <xdr:cNvSpPr/>
        </xdr:nvSpPr>
        <xdr:spPr>
          <a:xfrm>
            <a:off x="21354702" y="8257386"/>
            <a:ext cx="274320" cy="274320"/>
          </a:xfrm>
          <a:prstGeom prst="flowChartConnector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32</xdr:col>
      <xdr:colOff>123636</xdr:colOff>
      <xdr:row>0</xdr:row>
      <xdr:rowOff>0</xdr:rowOff>
    </xdr:from>
    <xdr:to>
      <xdr:col>41</xdr:col>
      <xdr:colOff>164624</xdr:colOff>
      <xdr:row>23</xdr:row>
      <xdr:rowOff>13607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2498A0C-7494-A1A0-FF66-D4BADD7A0013}"/>
            </a:ext>
          </a:extLst>
        </xdr:cNvPr>
        <xdr:cNvGrpSpPr/>
      </xdr:nvGrpSpPr>
      <xdr:grpSpPr>
        <a:xfrm>
          <a:off x="21269136" y="0"/>
          <a:ext cx="5551881" cy="4966607"/>
          <a:chOff x="18915105" y="0"/>
          <a:chExt cx="5551880" cy="4966607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2EE42CD4-1335-3E6F-B888-078F17D9A007}"/>
              </a:ext>
            </a:extLst>
          </xdr:cNvPr>
          <xdr:cNvSpPr txBox="1"/>
        </xdr:nvSpPr>
        <xdr:spPr>
          <a:xfrm>
            <a:off x="18915105" y="0"/>
            <a:ext cx="5551880" cy="496660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 u="none"/>
              <a:t>Time Horizon:</a:t>
            </a:r>
          </a:p>
          <a:p>
            <a:r>
              <a:rPr lang="en-US" sz="1600"/>
              <a:t>When we anticipate this technology will impact the</a:t>
            </a:r>
            <a:r>
              <a:rPr lang="en-US" sz="1600" baseline="0"/>
              <a:t> business (values in between if possible)</a:t>
            </a:r>
          </a:p>
          <a:p>
            <a:r>
              <a:rPr lang="en-US" sz="1600" baseline="0"/>
              <a:t>- Short-term:  1-2 years</a:t>
            </a:r>
          </a:p>
          <a:p>
            <a:r>
              <a:rPr lang="en-US" sz="1600" baseline="0"/>
              <a:t>- Medium-term: 3-5 years</a:t>
            </a:r>
          </a:p>
          <a:p>
            <a:r>
              <a:rPr lang="en-US" sz="1600" baseline="0"/>
              <a:t>- Long-term:  More than 5 years</a:t>
            </a:r>
          </a:p>
          <a:p>
            <a:endParaRPr lang="en-US" sz="1600" baseline="0"/>
          </a:p>
          <a:p>
            <a:r>
              <a:rPr lang="en-US" sz="1600" b="1" u="none" baseline="0"/>
              <a:t>Impact: </a:t>
            </a:r>
          </a:p>
          <a:p>
            <a:r>
              <a:rPr lang="en-US" sz="1600"/>
              <a:t>How disruptive we expect the technology</a:t>
            </a:r>
            <a:r>
              <a:rPr lang="en-US" sz="1600" baseline="0"/>
              <a:t> to be to the business. </a:t>
            </a:r>
          </a:p>
          <a:p>
            <a:endParaRPr lang="en-US" sz="1600" baseline="0"/>
          </a:p>
          <a:p>
            <a:endParaRPr lang="en-US" sz="1600" baseline="0"/>
          </a:p>
          <a:p>
            <a:r>
              <a:rPr lang="en-US" sz="1600" baseline="0"/>
              <a:t>Low       Medium       High</a:t>
            </a:r>
          </a:p>
          <a:p>
            <a:endParaRPr lang="en-US" sz="1600" baseline="0"/>
          </a:p>
          <a:p>
            <a:r>
              <a:rPr lang="en-US" sz="1600" b="1" baseline="0"/>
              <a:t>Halo:</a:t>
            </a:r>
          </a:p>
          <a:p>
            <a:endParaRPr lang="en-US" sz="1600" b="0" baseline="0"/>
          </a:p>
          <a:p>
            <a:endParaRPr lang="en-US" sz="1600" b="0" baseline="0"/>
          </a:p>
          <a:p>
            <a:endParaRPr lang="en-US" sz="1600" b="0" baseline="0"/>
          </a:p>
          <a:p>
            <a:r>
              <a:rPr lang="en-US" sz="1600" b="0" baseline="0"/>
              <a:t>Work in Progress	Monitoring</a:t>
            </a:r>
          </a:p>
          <a:p>
            <a:endParaRPr lang="en-US" sz="1200" baseline="0"/>
          </a:p>
        </xdr:txBody>
      </xdr:sp>
      <xdr:sp macro="" textlink="">
        <xdr:nvSpPr>
          <xdr:cNvPr id="14" name="Flowchart: Connector 13">
            <a:extLst>
              <a:ext uri="{FF2B5EF4-FFF2-40B4-BE49-F238E27FC236}">
                <a16:creationId xmlns:a16="http://schemas.microsoft.com/office/drawing/2014/main" id="{4F911F32-C4C4-DD7C-7A6D-9F60D0C45092}"/>
              </a:ext>
            </a:extLst>
          </xdr:cNvPr>
          <xdr:cNvSpPr/>
        </xdr:nvSpPr>
        <xdr:spPr>
          <a:xfrm>
            <a:off x="19053539" y="2458984"/>
            <a:ext cx="167028" cy="212238"/>
          </a:xfrm>
          <a:prstGeom prst="flowChartConnector">
            <a:avLst/>
          </a:prstGeom>
          <a:solidFill>
            <a:srgbClr val="9CC3E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Flowchart: Connector 14">
            <a:extLst>
              <a:ext uri="{FF2B5EF4-FFF2-40B4-BE49-F238E27FC236}">
                <a16:creationId xmlns:a16="http://schemas.microsoft.com/office/drawing/2014/main" id="{8328D245-9B55-4239-9CB9-06E8BE82AD78}"/>
              </a:ext>
            </a:extLst>
          </xdr:cNvPr>
          <xdr:cNvSpPr/>
        </xdr:nvSpPr>
        <xdr:spPr>
          <a:xfrm>
            <a:off x="19884335" y="2427231"/>
            <a:ext cx="229050" cy="256815"/>
          </a:xfrm>
          <a:prstGeom prst="flowChartConnector">
            <a:avLst/>
          </a:prstGeom>
          <a:solidFill>
            <a:srgbClr val="9CC3E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Flowchart: Connector 15">
            <a:extLst>
              <a:ext uri="{FF2B5EF4-FFF2-40B4-BE49-F238E27FC236}">
                <a16:creationId xmlns:a16="http://schemas.microsoft.com/office/drawing/2014/main" id="{5E6CF5B7-7782-4ED7-BCEA-6F41329B9085}"/>
              </a:ext>
            </a:extLst>
          </xdr:cNvPr>
          <xdr:cNvSpPr/>
        </xdr:nvSpPr>
        <xdr:spPr>
          <a:xfrm>
            <a:off x="20726919" y="2321185"/>
            <a:ext cx="317029" cy="371355"/>
          </a:xfrm>
          <a:prstGeom prst="flowChartConnector">
            <a:avLst/>
          </a:prstGeom>
          <a:solidFill>
            <a:srgbClr val="9CC3E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" name="Flowchart: Connector 1">
            <a:extLst>
              <a:ext uri="{FF2B5EF4-FFF2-40B4-BE49-F238E27FC236}">
                <a16:creationId xmlns:a16="http://schemas.microsoft.com/office/drawing/2014/main" id="{E963B3D0-F284-47FD-83D8-8A618795EB68}"/>
              </a:ext>
            </a:extLst>
          </xdr:cNvPr>
          <xdr:cNvSpPr/>
        </xdr:nvSpPr>
        <xdr:spPr>
          <a:xfrm>
            <a:off x="19413831" y="3672376"/>
            <a:ext cx="317027" cy="330534"/>
          </a:xfrm>
          <a:prstGeom prst="flowChartConnector">
            <a:avLst/>
          </a:prstGeom>
          <a:solidFill>
            <a:srgbClr val="9CC3E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Flowchart: Connector 7">
            <a:extLst>
              <a:ext uri="{FF2B5EF4-FFF2-40B4-BE49-F238E27FC236}">
                <a16:creationId xmlns:a16="http://schemas.microsoft.com/office/drawing/2014/main" id="{AA068197-D7A1-4F48-9B88-A84344C0A3A5}"/>
              </a:ext>
            </a:extLst>
          </xdr:cNvPr>
          <xdr:cNvSpPr/>
        </xdr:nvSpPr>
        <xdr:spPr>
          <a:xfrm>
            <a:off x="21103839" y="3688705"/>
            <a:ext cx="317029" cy="330534"/>
          </a:xfrm>
          <a:prstGeom prst="flowChartConnector">
            <a:avLst/>
          </a:prstGeom>
          <a:solidFill>
            <a:srgbClr val="9CC3E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Flowchart: Connector 18">
            <a:extLst>
              <a:ext uri="{FF2B5EF4-FFF2-40B4-BE49-F238E27FC236}">
                <a16:creationId xmlns:a16="http://schemas.microsoft.com/office/drawing/2014/main" id="{CFF3840E-D878-4DBC-B121-E151981A618C}"/>
              </a:ext>
            </a:extLst>
          </xdr:cNvPr>
          <xdr:cNvSpPr/>
        </xdr:nvSpPr>
        <xdr:spPr>
          <a:xfrm>
            <a:off x="19348516" y="3607060"/>
            <a:ext cx="457200" cy="457200"/>
          </a:xfrm>
          <a:prstGeom prst="flowChartConnector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0</xdr:rowOff>
        </xdr:from>
        <xdr:to>
          <xdr:col>4</xdr:col>
          <xdr:colOff>1438275</xdr:colOff>
          <xdr:row>4</xdr:row>
          <xdr:rowOff>530679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0.43656</cdr:x>
      <cdr:y>0.0344</cdr:y>
    </cdr:from>
    <cdr:to>
      <cdr:x>0.56156</cdr:x>
      <cdr:y>0.45905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DCEE822D-440B-40B3-B612-3B25DAF8C1D9}"/>
            </a:ext>
          </a:extLst>
        </cdr:cNvPr>
        <cdr:cNvGrpSpPr/>
      </cdr:nvGrpSpPr>
      <cdr:grpSpPr>
        <a:xfrm xmlns:a="http://schemas.openxmlformats.org/drawingml/2006/main">
          <a:off x="4808134" y="354809"/>
          <a:ext cx="1376710" cy="4379931"/>
          <a:chOff x="3143241" y="247680"/>
          <a:chExt cx="900000" cy="3057480"/>
        </a:xfrm>
      </cdr:grpSpPr>
      <cdr:cxnSp macro="">
        <cdr:nvCxnSpPr>
          <cdr:cNvPr id="16" name="Straight Connector 15">
            <a:extLst xmlns:a="http://schemas.openxmlformats.org/drawingml/2006/main">
              <a:ext uri="{FF2B5EF4-FFF2-40B4-BE49-F238E27FC236}">
                <a16:creationId xmlns:a16="http://schemas.microsoft.com/office/drawing/2014/main" id="{7A179EB3-AEC7-4A4A-BCCC-7DBF5A9E825C}"/>
              </a:ext>
            </a:extLst>
          </cdr:cNvPr>
          <cdr:cNvCxnSpPr/>
        </cdr:nvCxnSpPr>
        <cdr:spPr>
          <a:xfrm xmlns:a="http://schemas.openxmlformats.org/drawingml/2006/main" flipV="1">
            <a:off x="3590928" y="485784"/>
            <a:ext cx="0" cy="2819376"/>
          </a:xfrm>
          <a:prstGeom xmlns:a="http://schemas.openxmlformats.org/drawingml/2006/main" prst="line">
            <a:avLst/>
          </a:prstGeom>
          <a:ln xmlns:a="http://schemas.openxmlformats.org/drawingml/2006/main" w="38100">
            <a:solidFill>
              <a:srgbClr val="00B0F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sp macro="" textlink="">
        <cdr:nvSpPr>
          <cdr:cNvPr id="26" name="Rectangle: Rounded Corners 25">
            <a:extLst xmlns:a="http://schemas.openxmlformats.org/drawingml/2006/main">
              <a:ext uri="{FF2B5EF4-FFF2-40B4-BE49-F238E27FC236}">
                <a16:creationId xmlns:a16="http://schemas.microsoft.com/office/drawing/2014/main" id="{3F8C6BAA-32E1-4A7F-9828-D589556AD81E}"/>
              </a:ext>
            </a:extLst>
          </cdr:cNvPr>
          <cdr:cNvSpPr/>
        </cdr:nvSpPr>
        <cdr:spPr>
          <a:xfrm xmlns:a="http://schemas.openxmlformats.org/drawingml/2006/main">
            <a:off x="3338928" y="1771632"/>
            <a:ext cx="504000" cy="216000"/>
          </a:xfrm>
          <a:prstGeom xmlns:a="http://schemas.openxmlformats.org/drawingml/2006/main" prst="roundRect">
            <a:avLst/>
          </a:prstGeom>
          <a:solidFill xmlns:a="http://schemas.openxmlformats.org/drawingml/2006/main">
            <a:srgbClr val="00B0F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 anchor="ctr"/>
          <a:lstStyle xmlns:a="http://schemas.openxmlformats.org/drawingml/2006/main"/>
          <a:p xmlns:a="http://schemas.openxmlformats.org/drawingml/2006/main">
            <a:pPr algn="ctr"/>
            <a:r>
              <a:rPr lang="en-US"/>
              <a:t>1 - 2</a:t>
            </a:r>
          </a:p>
        </cdr:txBody>
      </cdr:sp>
      <cdr:sp macro="" textlink="">
        <cdr:nvSpPr>
          <cdr:cNvPr id="27" name="Rectangle: Rounded Corners 26">
            <a:extLst xmlns:a="http://schemas.openxmlformats.org/drawingml/2006/main">
              <a:ext uri="{FF2B5EF4-FFF2-40B4-BE49-F238E27FC236}">
                <a16:creationId xmlns:a16="http://schemas.microsoft.com/office/drawing/2014/main" id="{C7BD3870-5754-40C7-9296-81AA3E202551}"/>
              </a:ext>
            </a:extLst>
          </cdr:cNvPr>
          <cdr:cNvSpPr/>
        </cdr:nvSpPr>
        <cdr:spPr>
          <a:xfrm xmlns:a="http://schemas.openxmlformats.org/drawingml/2006/main">
            <a:off x="3338928" y="1171584"/>
            <a:ext cx="504000" cy="216000"/>
          </a:xfrm>
          <a:prstGeom xmlns:a="http://schemas.openxmlformats.org/drawingml/2006/main" prst="roundRect">
            <a:avLst/>
          </a:prstGeom>
          <a:solidFill xmlns:a="http://schemas.openxmlformats.org/drawingml/2006/main">
            <a:srgbClr val="00B0F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 anchor="ctr"/>
          <a:lstStyle xmlns:a="http://schemas.openxmlformats.org/drawingml/2006/main"/>
          <a:p xmlns:a="http://schemas.openxmlformats.org/drawingml/2006/main">
            <a:pPr algn="ctr"/>
            <a:r>
              <a:rPr lang="en-US"/>
              <a:t>3</a:t>
            </a:r>
            <a:r>
              <a:rPr lang="en-US" baseline="0"/>
              <a:t> - 5</a:t>
            </a:r>
            <a:endParaRPr lang="en-US"/>
          </a:p>
        </cdr:txBody>
      </cdr:sp>
      <cdr:sp macro="" textlink="">
        <cdr:nvSpPr>
          <cdr:cNvPr id="28" name="Rectangle: Rounded Corners 27">
            <a:extLst xmlns:a="http://schemas.openxmlformats.org/drawingml/2006/main">
              <a:ext uri="{FF2B5EF4-FFF2-40B4-BE49-F238E27FC236}">
                <a16:creationId xmlns:a16="http://schemas.microsoft.com/office/drawing/2014/main" id="{99507A2E-E90C-4834-9A22-C6958957C89E}"/>
              </a:ext>
            </a:extLst>
          </cdr:cNvPr>
          <cdr:cNvSpPr/>
        </cdr:nvSpPr>
        <cdr:spPr>
          <a:xfrm xmlns:a="http://schemas.openxmlformats.org/drawingml/2006/main">
            <a:off x="3338928" y="714384"/>
            <a:ext cx="504000" cy="216000"/>
          </a:xfrm>
          <a:prstGeom xmlns:a="http://schemas.openxmlformats.org/drawingml/2006/main" prst="roundRect">
            <a:avLst/>
          </a:prstGeom>
          <a:solidFill xmlns:a="http://schemas.openxmlformats.org/drawingml/2006/main">
            <a:srgbClr val="00B0F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 anchor="ctr"/>
          <a:lstStyle xmlns:a="http://schemas.openxmlformats.org/drawingml/2006/main"/>
          <a:p xmlns:a="http://schemas.openxmlformats.org/drawingml/2006/main">
            <a:pPr algn="ctr"/>
            <a:r>
              <a:rPr lang="en-US"/>
              <a:t>&gt; 5 </a:t>
            </a:r>
          </a:p>
        </cdr:txBody>
      </cdr:sp>
      <cdr:sp macro="" textlink="">
        <cdr:nvSpPr>
          <cdr:cNvPr id="29" name="Rectangle: Rounded Corners 28">
            <a:extLst xmlns:a="http://schemas.openxmlformats.org/drawingml/2006/main">
              <a:ext uri="{FF2B5EF4-FFF2-40B4-BE49-F238E27FC236}">
                <a16:creationId xmlns:a16="http://schemas.microsoft.com/office/drawing/2014/main" id="{320D7BE3-2128-4920-AAC4-7FC8063F83E1}"/>
              </a:ext>
            </a:extLst>
          </cdr:cNvPr>
          <cdr:cNvSpPr/>
        </cdr:nvSpPr>
        <cdr:spPr>
          <a:xfrm xmlns:a="http://schemas.openxmlformats.org/drawingml/2006/main">
            <a:off x="3143241" y="247680"/>
            <a:ext cx="900000" cy="238104"/>
          </a:xfrm>
          <a:prstGeom xmlns:a="http://schemas.openxmlformats.org/drawingml/2006/main" prst="roundRect">
            <a:avLst/>
          </a:prstGeom>
          <a:solidFill xmlns:a="http://schemas.openxmlformats.org/drawingml/2006/main">
            <a:srgbClr val="00B0F0"/>
          </a:solidFill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 anchor="ctr"/>
          <a:lstStyle xmlns:a="http://schemas.openxmlformats.org/drawingml/2006/main"/>
          <a:p xmlns:a="http://schemas.openxmlformats.org/drawingml/2006/main">
            <a:pPr algn="ctr"/>
            <a:r>
              <a:rPr lang="en-US"/>
              <a:t>time</a:t>
            </a:r>
            <a:r>
              <a:rPr lang="en-US" baseline="0"/>
              <a:t> (</a:t>
            </a:r>
            <a:r>
              <a:rPr lang="en-US"/>
              <a:t>years)</a:t>
            </a:r>
          </a:p>
        </cdr:txBody>
      </cdr:sp>
    </cdr:grpSp>
  </cdr:relSizeAnchor>
  <cdr:relSizeAnchor xmlns:cdr="http://schemas.openxmlformats.org/drawingml/2006/chartDrawing">
    <cdr:from>
      <cdr:x>0.14859</cdr:x>
      <cdr:y>0.87616</cdr:y>
    </cdr:from>
    <cdr:to>
      <cdr:x>0.42906</cdr:x>
      <cdr:y>0.89884</cdr:y>
    </cdr:to>
    <cdr:sp macro="" textlink="">
      <cdr:nvSpPr>
        <cdr:cNvPr id="4" name="TextBox180">
          <a:extLst xmlns:a="http://schemas.openxmlformats.org/drawingml/2006/main">
            <a:ext uri="{FF2B5EF4-FFF2-40B4-BE49-F238E27FC236}">
              <a16:creationId xmlns:a16="http://schemas.microsoft.com/office/drawing/2014/main" id="{67B2B3E1-4957-480B-A825-D0AA030CE916}"/>
            </a:ext>
          </a:extLst>
        </cdr:cNvPr>
        <cdr:cNvSpPr txBox="1"/>
      </cdr:nvSpPr>
      <cdr:spPr>
        <a:xfrm xmlns:a="http://schemas.openxmlformats.org/drawingml/2006/main" rot="1749640">
          <a:off x="1437981" y="9036900"/>
          <a:ext cx="2714157" cy="233930"/>
        </a:xfrm>
        <a:prstGeom xmlns:a="http://schemas.openxmlformats.org/drawingml/2006/main" prst="rect">
          <a:avLst/>
        </a:prstGeom>
        <a:effectLst xmlns:a="http://schemas.openxmlformats.org/drawingml/2006/main">
          <a:outerShdw blurRad="50800" dist="38100" dir="2700000" algn="tl" rotWithShape="0">
            <a:prstClr val="black">
              <a:alpha val="50000"/>
            </a:prstClr>
          </a:outerShdw>
        </a:effectLst>
      </cdr:spPr>
      <cdr:txBody>
        <a:bodyPr xmlns:a="http://schemas.openxmlformats.org/drawingml/2006/main" wrap="square" rtlCol="0" anchor="ctr">
          <a:prstTxWarp prst="textArchDown">
            <a:avLst>
              <a:gd name="adj" fmla="val 20621431"/>
            </a:avLst>
          </a:prstTxWarp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New Sizes</a:t>
          </a:r>
        </a:p>
      </cdr:txBody>
    </cdr:sp>
  </cdr:relSizeAnchor>
  <cdr:relSizeAnchor xmlns:cdr="http://schemas.openxmlformats.org/drawingml/2006/chartDrawing">
    <cdr:from>
      <cdr:x>0.93282</cdr:x>
      <cdr:y>0.35687</cdr:y>
    </cdr:from>
    <cdr:to>
      <cdr:x>0.94991</cdr:x>
      <cdr:y>0.67534</cdr:y>
    </cdr:to>
    <cdr:sp macro="" textlink="">
      <cdr:nvSpPr>
        <cdr:cNvPr id="3" name="TextBox60">
          <a:extLst xmlns:a="http://schemas.openxmlformats.org/drawingml/2006/main">
            <a:ext uri="{FF2B5EF4-FFF2-40B4-BE49-F238E27FC236}">
              <a16:creationId xmlns:a16="http://schemas.microsoft.com/office/drawing/2014/main" id="{32DFC13E-B925-433B-8E91-03D0E76AFF51}"/>
            </a:ext>
          </a:extLst>
        </cdr:cNvPr>
        <cdr:cNvSpPr txBox="1"/>
      </cdr:nvSpPr>
      <cdr:spPr>
        <a:xfrm xmlns:a="http://schemas.openxmlformats.org/drawingml/2006/main" rot="5400000">
          <a:off x="7467480" y="5240582"/>
          <a:ext cx="3284758" cy="165337"/>
        </a:xfrm>
        <a:prstGeom xmlns:a="http://schemas.openxmlformats.org/drawingml/2006/main" prst="rect">
          <a:avLst/>
        </a:prstGeom>
        <a:effectLst xmlns:a="http://schemas.openxmlformats.org/drawingml/2006/main">
          <a:outerShdw blurRad="50800" dist="38100" dir="2700000" algn="tl" rotWithShape="0">
            <a:prstClr val="black">
              <a:alpha val="50000"/>
            </a:prstClr>
          </a:outerShdw>
        </a:effectLst>
      </cdr:spPr>
      <cdr:txBody>
        <a:bodyPr xmlns:a="http://schemas.openxmlformats.org/drawingml/2006/main" vertOverflow="clip" wrap="square" rtlCol="0" anchor="ctr">
          <a:prstTxWarp prst="textArchUp">
            <a:avLst>
              <a:gd name="adj" fmla="val 10359022"/>
            </a:avLst>
          </a:prstTxWarp>
        </a:bodyPr>
        <a:lstStyle xmlns:a="http://schemas.openxmlformats.org/drawingml/2006/main"/>
        <a:p xmlns:a="http://schemas.openxmlformats.org/drawingml/2006/main">
          <a:pPr algn="ctr"/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Resealable Can (Metal)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0.56655</cdr:x>
      <cdr:y>0.12472</cdr:y>
    </cdr:from>
    <cdr:to>
      <cdr:x>0.98229</cdr:x>
      <cdr:y>0.15645</cdr:y>
    </cdr:to>
    <cdr:sp macro="" textlink="">
      <cdr:nvSpPr>
        <cdr:cNvPr id="6" name="TextBox0">
          <a:extLst xmlns:a="http://schemas.openxmlformats.org/drawingml/2006/main">
            <a:ext uri="{FF2B5EF4-FFF2-40B4-BE49-F238E27FC236}">
              <a16:creationId xmlns:a16="http://schemas.microsoft.com/office/drawing/2014/main" id="{6273D11D-A68C-4C87-9991-17E92A0DAE08}"/>
            </a:ext>
          </a:extLst>
        </cdr:cNvPr>
        <cdr:cNvSpPr txBox="1"/>
      </cdr:nvSpPr>
      <cdr:spPr>
        <a:xfrm xmlns:a="http://schemas.openxmlformats.org/drawingml/2006/main" rot="2395110">
          <a:off x="5482690" y="1286396"/>
          <a:ext cx="4023231" cy="327270"/>
        </a:xfrm>
        <a:prstGeom xmlns:a="http://schemas.openxmlformats.org/drawingml/2006/main" prst="rect">
          <a:avLst/>
        </a:prstGeom>
        <a:effectLst xmlns:a="http://schemas.openxmlformats.org/drawingml/2006/main">
          <a:outerShdw blurRad="50800" dist="38100" dir="2700000" algn="tl" rotWithShape="0">
            <a:prstClr val="black">
              <a:alpha val="50000"/>
            </a:prstClr>
          </a:outerShdw>
        </a:effectLst>
      </cdr:spPr>
      <cdr:txBody>
        <a:bodyPr xmlns:a="http://schemas.openxmlformats.org/drawingml/2006/main" wrap="square" rtlCol="0" anchor="ctr">
          <a:prstTxWarp prst="textArchDown">
            <a:avLst>
              <a:gd name="adj" fmla="val 120413"/>
            </a:avLst>
          </a:prstTxWarp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Customized Decoration </a:t>
          </a:r>
        </a:p>
      </cdr:txBody>
    </cdr:sp>
  </cdr:relSizeAnchor>
  <cdr:relSizeAnchor xmlns:cdr="http://schemas.openxmlformats.org/drawingml/2006/chartDrawing">
    <cdr:from>
      <cdr:x>0.11229</cdr:x>
      <cdr:y>0.1061</cdr:y>
    </cdr:from>
    <cdr:to>
      <cdr:x>0.4315</cdr:x>
      <cdr:y>0.13841</cdr:y>
    </cdr:to>
    <cdr:sp macro="" textlink="">
      <cdr:nvSpPr>
        <cdr:cNvPr id="7" name="TextBox300">
          <a:extLst xmlns:a="http://schemas.openxmlformats.org/drawingml/2006/main">
            <a:ext uri="{FF2B5EF4-FFF2-40B4-BE49-F238E27FC236}">
              <a16:creationId xmlns:a16="http://schemas.microsoft.com/office/drawing/2014/main" id="{6273D11D-A68C-4C87-9991-17E92A0DAE08}"/>
            </a:ext>
          </a:extLst>
        </cdr:cNvPr>
        <cdr:cNvSpPr txBox="1"/>
      </cdr:nvSpPr>
      <cdr:spPr>
        <a:xfrm xmlns:a="http://schemas.openxmlformats.org/drawingml/2006/main" rot="19716040">
          <a:off x="988853" y="941815"/>
          <a:ext cx="2810952" cy="286871"/>
        </a:xfrm>
        <a:prstGeom xmlns:a="http://schemas.openxmlformats.org/drawingml/2006/main" prst="rect">
          <a:avLst/>
        </a:prstGeom>
        <a:effectLst xmlns:a="http://schemas.openxmlformats.org/drawingml/2006/main">
          <a:outerShdw blurRad="50800" dist="38100" dir="2700000" algn="tl" rotWithShape="0">
            <a:prstClr val="black">
              <a:alpha val="50000"/>
            </a:prstClr>
          </a:outerShdw>
        </a:effectLst>
      </cdr:spPr>
      <cdr:txBody>
        <a:bodyPr xmlns:a="http://schemas.openxmlformats.org/drawingml/2006/main" wrap="square" rtlCol="0" anchor="ctr">
          <a:prstTxWarp prst="textArchUp">
            <a:avLst>
              <a:gd name="adj" fmla="val 12356194"/>
            </a:avLst>
          </a:prstTxWarp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Digital Printing </a:t>
          </a:r>
        </a:p>
      </cdr:txBody>
    </cdr:sp>
  </cdr:relSizeAnchor>
  <cdr:relSizeAnchor xmlns:cdr="http://schemas.openxmlformats.org/drawingml/2006/chartDrawing">
    <cdr:from>
      <cdr:x>0.53508</cdr:x>
      <cdr:y>0.33998</cdr:y>
    </cdr:from>
    <cdr:to>
      <cdr:x>0.87701</cdr:x>
      <cdr:y>0.48096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8E108195-D4D7-4D73-B53C-65048769A6CD}"/>
            </a:ext>
          </a:extLst>
        </cdr:cNvPr>
        <cdr:cNvCxnSpPr/>
      </cdr:nvCxnSpPr>
      <cdr:spPr>
        <a:xfrm xmlns:a="http://schemas.openxmlformats.org/drawingml/2006/main" flipV="1">
          <a:off x="4668381" y="2967157"/>
          <a:ext cx="2983216" cy="1230395"/>
        </a:xfrm>
        <a:prstGeom xmlns:a="http://schemas.openxmlformats.org/drawingml/2006/main" prst="line">
          <a:avLst/>
        </a:prstGeom>
        <a:ln xmlns:a="http://schemas.openxmlformats.org/drawingml/2006/main" w="9525">
          <a:solidFill>
            <a:schemeClr val="bg1">
              <a:lumMod val="50000"/>
              <a:alpha val="54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0.49943</cdr:x>
      <cdr:y>0.53605</cdr:y>
    </cdr:from>
    <cdr:to>
      <cdr:x>0.50372</cdr:x>
      <cdr:y>0.92624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026BBE41-D858-456F-8028-EEBA1BD3366B}"/>
            </a:ext>
          </a:extLst>
        </cdr:cNvPr>
        <cdr:cNvCxnSpPr/>
      </cdr:nvCxnSpPr>
      <cdr:spPr>
        <a:xfrm xmlns:a="http://schemas.openxmlformats.org/drawingml/2006/main" flipH="1" flipV="1">
          <a:off x="4402299" y="4634389"/>
          <a:ext cx="37774" cy="3373383"/>
        </a:xfrm>
        <a:prstGeom xmlns:a="http://schemas.openxmlformats.org/drawingml/2006/main" prst="line">
          <a:avLst/>
        </a:prstGeom>
        <a:ln xmlns:a="http://schemas.openxmlformats.org/drawingml/2006/main" w="9525">
          <a:solidFill>
            <a:schemeClr val="bg1">
              <a:lumMod val="50000"/>
              <a:alpha val="54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0.15793</cdr:x>
      <cdr:y>0.28342</cdr:y>
    </cdr:from>
    <cdr:to>
      <cdr:x>0.46311</cdr:x>
      <cdr:y>0.47727</cdr:y>
    </cdr:to>
    <cdr:cxnSp macro="">
      <cdr:nvCxnSpPr>
        <cdr:cNvPr id="13" name="Straight Connector 12">
          <a:extLst xmlns:a="http://schemas.openxmlformats.org/drawingml/2006/main">
            <a:ext uri="{FF2B5EF4-FFF2-40B4-BE49-F238E27FC236}">
              <a16:creationId xmlns:a16="http://schemas.microsoft.com/office/drawing/2014/main" id="{E9A81B09-7218-414B-BFA2-399AFEE2C12C}"/>
            </a:ext>
          </a:extLst>
        </cdr:cNvPr>
        <cdr:cNvCxnSpPr/>
      </cdr:nvCxnSpPr>
      <cdr:spPr>
        <a:xfrm xmlns:a="http://schemas.openxmlformats.org/drawingml/2006/main">
          <a:off x="1392072" y="2447636"/>
          <a:ext cx="2690091" cy="1674091"/>
        </a:xfrm>
        <a:prstGeom xmlns:a="http://schemas.openxmlformats.org/drawingml/2006/main" prst="line">
          <a:avLst/>
        </a:prstGeom>
        <a:ln xmlns:a="http://schemas.openxmlformats.org/drawingml/2006/main" w="9525">
          <a:solidFill>
            <a:schemeClr val="bg1">
              <a:lumMod val="50000"/>
              <a:alpha val="54000"/>
            </a:schemeClr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0.52854</cdr:x>
      <cdr:y>0.52708</cdr:y>
    </cdr:from>
    <cdr:to>
      <cdr:x>0.85343</cdr:x>
      <cdr:y>0.70055</cdr:y>
    </cdr:to>
    <cdr:cxnSp macro="">
      <cdr:nvCxnSpPr>
        <cdr:cNvPr id="17" name="Straight Connector 16">
          <a:extLst xmlns:a="http://schemas.openxmlformats.org/drawingml/2006/main">
            <a:ext uri="{FF2B5EF4-FFF2-40B4-BE49-F238E27FC236}">
              <a16:creationId xmlns:a16="http://schemas.microsoft.com/office/drawing/2014/main" id="{67380AA6-E5C7-495A-84E6-CB70EA715146}"/>
            </a:ext>
          </a:extLst>
        </cdr:cNvPr>
        <cdr:cNvCxnSpPr/>
      </cdr:nvCxnSpPr>
      <cdr:spPr>
        <a:xfrm xmlns:a="http://schemas.openxmlformats.org/drawingml/2006/main">
          <a:off x="4658913" y="4556813"/>
          <a:ext cx="2863796" cy="1499777"/>
        </a:xfrm>
        <a:prstGeom xmlns:a="http://schemas.openxmlformats.org/drawingml/2006/main" prst="line">
          <a:avLst/>
        </a:prstGeom>
        <a:ln xmlns:a="http://schemas.openxmlformats.org/drawingml/2006/main" w="9525">
          <a:solidFill>
            <a:schemeClr val="bg1">
              <a:lumMod val="50000"/>
              <a:alpha val="5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0.00397</cdr:x>
      <cdr:y>0.9525</cdr:y>
    </cdr:from>
    <cdr:to>
      <cdr:x>0.31882</cdr:x>
      <cdr:y>0.98942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5EC0C13F-7714-4967-B0A9-231C2FC3E42B}"/>
            </a:ext>
          </a:extLst>
        </cdr:cNvPr>
        <cdr:cNvSpPr txBox="1"/>
      </cdr:nvSpPr>
      <cdr:spPr>
        <a:xfrm xmlns:a="http://schemas.openxmlformats.org/drawingml/2006/main">
          <a:off x="28575" y="6858000"/>
          <a:ext cx="2266950" cy="265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>
            <a:solidFill>
              <a:schemeClr val="accent1"/>
            </a:solidFill>
          </a:endParaRPr>
        </a:p>
      </cdr:txBody>
    </cdr:sp>
  </cdr:relSizeAnchor>
</c:userShape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F16AFA-3AC4-4DBE-AAD7-CB884CF7403E}" name="Table2" displayName="Table2" ref="A6:M48" totalsRowShown="0" headerRowDxfId="26" dataDxfId="25">
  <tableColumns count="13">
    <tableColumn id="1" xr3:uid="{8F6CAFF4-1D3F-444F-B95F-50F8D3B80011}" name="Project" dataDxfId="24"/>
    <tableColumn id="2" xr3:uid="{860DF709-7A15-4F5F-B454-09B5E48CCCCA}" name="User Case" dataDxfId="23"/>
    <tableColumn id="3" xr3:uid="{3D7BF8B5-751F-4334-97E3-EC447ED60310}" name="Region" dataDxfId="22"/>
    <tableColumn id="4" xr3:uid="{13232B0D-BCB8-486F-B3B2-EBB9DAB9083D}" name="Impact" dataDxfId="21"/>
    <tableColumn id="5" xr3:uid="{AD319523-207B-404B-9211-F0FF3085F3A5}" name="Stage Gate Status" dataDxfId="20"/>
    <tableColumn id="6" xr3:uid="{92849DED-2E91-4A26-B5E9-2C33F433B068}" name="Time Years" dataDxfId="19"/>
    <tableColumn id="7" xr3:uid="{E05FECC4-2820-43FD-8C06-AEC9D81948E0}" name="Angle" dataDxfId="18"/>
    <tableColumn id="8" xr3:uid="{FA4A346A-146B-4118-B31D-3F4157157B26}" name="Active Work" dataDxfId="17"/>
    <tableColumn id="17" xr3:uid="{000AB7C3-F562-4BD2-A6A6-3830E17D47AC}" name="Typ" dataDxfId="16"/>
    <tableColumn id="9" xr3:uid="{F1C78396-8371-4998-B0A0-D50C9F2A2792}" name="Eingabe Time" dataDxfId="15">
      <calculatedColumnFormula>IF(F7&lt;=2,0.5+3/2*(F7-0.5),IF(F7&gt;5,5+(F7-5)*0.2-0.5,F7+(4-F7)*0.5))</calculatedColumnFormula>
    </tableColumn>
    <tableColumn id="10" xr3:uid="{7FF0E283-5E01-4689-9E0C-1DF6FA8BBCE4}" name="x" dataDxfId="14">
      <calculatedColumnFormula>COS(G7*PI()/180)*J7*stretch</calculatedColumnFormula>
    </tableColumn>
    <tableColumn id="11" xr3:uid="{A0D2B278-864C-4143-B0D7-49448D862250}" name="Y" dataDxfId="13">
      <calculatedColumnFormula>SIN(G7*PI()/180)*J7*stretch</calculatedColumnFormula>
    </tableColumn>
    <tableColumn id="12" xr3:uid="{3F34451E-4D0D-4628-AFFC-94E964F4730A}" name="Column1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Ideation Theme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DEEBF6"/>
      </a:accent1>
      <a:accent2>
        <a:srgbClr val="9CC3E5"/>
      </a:accent2>
      <a:accent3>
        <a:srgbClr val="2E75B5"/>
      </a:accent3>
      <a:accent4>
        <a:srgbClr val="FFD965"/>
      </a:accent4>
      <a:accent5>
        <a:srgbClr val="92D050"/>
      </a:accent5>
      <a:accent6>
        <a:srgbClr val="FF0000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9/04/relationships/namedSheetView" Target="../namedSheetViews/namedSheetView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6031-BEF2-4C8F-BC64-8B807F860605}">
  <sheetPr codeName="Sheet2"/>
  <dimension ref="A3:H38"/>
  <sheetViews>
    <sheetView workbookViewId="0">
      <selection activeCell="H26" sqref="H26"/>
    </sheetView>
  </sheetViews>
  <sheetFormatPr defaultRowHeight="15" x14ac:dyDescent="0.25"/>
  <cols>
    <col min="1" max="1" width="26.85546875" customWidth="1"/>
    <col min="2" max="2" width="54.5703125" style="20" bestFit="1" customWidth="1"/>
    <col min="3" max="3" width="9.140625" bestFit="1" customWidth="1"/>
    <col min="4" max="4" width="22.140625" customWidth="1"/>
    <col min="5" max="5" width="21.7109375" bestFit="1" customWidth="1"/>
    <col min="6" max="6" width="13.7109375" bestFit="1" customWidth="1"/>
    <col min="7" max="7" width="7.85546875" bestFit="1" customWidth="1"/>
    <col min="8" max="8" width="15.42578125" bestFit="1" customWidth="1"/>
  </cols>
  <sheetData>
    <row r="3" spans="1:8" x14ac:dyDescent="0.25">
      <c r="B3" s="37" t="s">
        <v>67</v>
      </c>
      <c r="C3" s="1" t="s">
        <v>87</v>
      </c>
      <c r="E3" s="1" t="s">
        <v>82</v>
      </c>
      <c r="F3" s="35" t="s">
        <v>78</v>
      </c>
    </row>
    <row r="4" spans="1:8" x14ac:dyDescent="0.25">
      <c r="B4" s="20" t="s">
        <v>81</v>
      </c>
      <c r="C4" t="s">
        <v>88</v>
      </c>
      <c r="E4" t="s">
        <v>83</v>
      </c>
    </row>
    <row r="5" spans="1:8" x14ac:dyDescent="0.25">
      <c r="B5" s="20" t="s">
        <v>84</v>
      </c>
      <c r="C5" t="s">
        <v>89</v>
      </c>
      <c r="E5" t="s">
        <v>85</v>
      </c>
      <c r="F5" t="s">
        <v>79</v>
      </c>
    </row>
    <row r="6" spans="1:8" x14ac:dyDescent="0.25">
      <c r="B6" s="20" t="s">
        <v>102</v>
      </c>
      <c r="C6" t="s">
        <v>89</v>
      </c>
      <c r="E6" t="s">
        <v>86</v>
      </c>
      <c r="F6" t="s">
        <v>96</v>
      </c>
    </row>
    <row r="7" spans="1:8" x14ac:dyDescent="0.25">
      <c r="B7" s="20" t="s">
        <v>101</v>
      </c>
      <c r="C7" t="s">
        <v>89</v>
      </c>
      <c r="E7" t="s">
        <v>90</v>
      </c>
    </row>
    <row r="8" spans="1:8" x14ac:dyDescent="0.25">
      <c r="B8" s="20" t="s">
        <v>100</v>
      </c>
      <c r="C8" t="s">
        <v>89</v>
      </c>
      <c r="E8" t="s">
        <v>91</v>
      </c>
      <c r="F8" t="s">
        <v>97</v>
      </c>
    </row>
    <row r="9" spans="1:8" x14ac:dyDescent="0.25">
      <c r="B9" s="20" t="s">
        <v>99</v>
      </c>
      <c r="C9" t="s">
        <v>88</v>
      </c>
      <c r="E9" t="s">
        <v>94</v>
      </c>
    </row>
    <row r="10" spans="1:8" x14ac:dyDescent="0.25">
      <c r="B10" s="20" t="s">
        <v>93</v>
      </c>
      <c r="C10" t="s">
        <v>95</v>
      </c>
      <c r="E10" t="s">
        <v>106</v>
      </c>
    </row>
    <row r="11" spans="1:8" x14ac:dyDescent="0.25">
      <c r="B11" s="20" t="s">
        <v>98</v>
      </c>
      <c r="C11" t="s">
        <v>89</v>
      </c>
      <c r="E11" t="s">
        <v>107</v>
      </c>
    </row>
    <row r="12" spans="1:8" x14ac:dyDescent="0.25">
      <c r="B12" s="20" t="s">
        <v>104</v>
      </c>
    </row>
    <row r="16" spans="1:8" ht="18.75" x14ac:dyDescent="0.3">
      <c r="A16" s="32" t="s">
        <v>8</v>
      </c>
      <c r="B16" s="33" t="s">
        <v>9</v>
      </c>
      <c r="C16" s="33" t="s">
        <v>10</v>
      </c>
      <c r="D16" s="33" t="s">
        <v>11</v>
      </c>
      <c r="E16" s="34" t="s">
        <v>61</v>
      </c>
      <c r="F16" s="33" t="s">
        <v>92</v>
      </c>
      <c r="G16" s="33" t="s">
        <v>12</v>
      </c>
      <c r="H16" s="33" t="s">
        <v>62</v>
      </c>
    </row>
    <row r="17" spans="1:8" ht="18.75" x14ac:dyDescent="0.3">
      <c r="A17" s="38" t="s">
        <v>17</v>
      </c>
      <c r="B17" s="39" t="s">
        <v>68</v>
      </c>
      <c r="C17" s="39" t="s">
        <v>18</v>
      </c>
      <c r="D17" s="19">
        <v>2</v>
      </c>
      <c r="E17" s="40" t="s">
        <v>59</v>
      </c>
      <c r="F17" s="19">
        <v>1.5</v>
      </c>
      <c r="G17" s="19">
        <v>310</v>
      </c>
      <c r="H17" s="19" t="s">
        <v>65</v>
      </c>
    </row>
    <row r="18" spans="1:8" ht="18.75" x14ac:dyDescent="0.3">
      <c r="A18" s="38" t="s">
        <v>20</v>
      </c>
      <c r="B18" s="39" t="s">
        <v>68</v>
      </c>
      <c r="C18" s="39" t="s">
        <v>21</v>
      </c>
      <c r="D18" s="19">
        <v>2</v>
      </c>
      <c r="E18" s="40" t="s">
        <v>54</v>
      </c>
      <c r="F18" s="19">
        <v>1</v>
      </c>
      <c r="G18" s="19">
        <v>320</v>
      </c>
      <c r="H18" s="19" t="s">
        <v>65</v>
      </c>
    </row>
    <row r="20" spans="1:8" x14ac:dyDescent="0.25">
      <c r="B20" s="37" t="s">
        <v>109</v>
      </c>
    </row>
    <row r="21" spans="1:8" x14ac:dyDescent="0.25">
      <c r="B21" s="20" t="s">
        <v>110</v>
      </c>
    </row>
    <row r="22" spans="1:8" x14ac:dyDescent="0.25">
      <c r="B22" s="20" t="s">
        <v>119</v>
      </c>
    </row>
    <row r="24" spans="1:8" x14ac:dyDescent="0.25">
      <c r="B24" s="37" t="s">
        <v>103</v>
      </c>
    </row>
    <row r="25" spans="1:8" x14ac:dyDescent="0.25">
      <c r="B25" s="20" t="s">
        <v>105</v>
      </c>
    </row>
    <row r="27" spans="1:8" x14ac:dyDescent="0.25">
      <c r="B27" s="20" t="s">
        <v>108</v>
      </c>
    </row>
    <row r="30" spans="1:8" x14ac:dyDescent="0.25">
      <c r="B30" s="36" t="s">
        <v>111</v>
      </c>
    </row>
    <row r="31" spans="1:8" x14ac:dyDescent="0.25">
      <c r="B31" s="20" t="s">
        <v>112</v>
      </c>
    </row>
    <row r="33" spans="2:2" x14ac:dyDescent="0.25">
      <c r="B33" s="20" t="s">
        <v>113</v>
      </c>
    </row>
    <row r="34" spans="2:2" x14ac:dyDescent="0.25">
      <c r="B34" s="20" t="s">
        <v>118</v>
      </c>
    </row>
    <row r="35" spans="2:2" x14ac:dyDescent="0.25">
      <c r="B35" s="20" t="s">
        <v>114</v>
      </c>
    </row>
    <row r="36" spans="2:2" x14ac:dyDescent="0.25">
      <c r="B36" s="20" t="s">
        <v>115</v>
      </c>
    </row>
    <row r="37" spans="2:2" x14ac:dyDescent="0.25">
      <c r="B37" s="20" t="s">
        <v>116</v>
      </c>
    </row>
    <row r="38" spans="2:2" x14ac:dyDescent="0.25">
      <c r="B38" s="20" t="s">
        <v>117</v>
      </c>
    </row>
  </sheetData>
  <dataValidations count="3">
    <dataValidation type="list" allowBlank="1" showInputMessage="1" showErrorMessage="1" sqref="B17:B18" xr:uid="{F8F6FFB5-9EFC-4547-992F-0C91F18E5D40}">
      <formula1>Use_Case</formula1>
    </dataValidation>
    <dataValidation type="list" allowBlank="1" showInputMessage="1" showErrorMessage="1" sqref="H17:H18" xr:uid="{08893627-1FB3-4C28-802D-10B9146687FD}">
      <formula1>Active_Working</formula1>
    </dataValidation>
    <dataValidation type="list" allowBlank="1" showInputMessage="1" showErrorMessage="1" sqref="E17:E18" xr:uid="{7F916E9E-5261-41A0-862E-C15576E958E7}">
      <formula1>Stage_Gate_Status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Button 4">
              <controlPr defaultSize="0" print="0" autoFill="0" autoPict="0">
                <anchor moveWithCells="1" sizeWithCells="1">
                  <from>
                    <xdr:col>8</xdr:col>
                    <xdr:colOff>219075</xdr:colOff>
                    <xdr:row>14</xdr:row>
                    <xdr:rowOff>142875</xdr:rowOff>
                  </from>
                  <to>
                    <xdr:col>10</xdr:col>
                    <xdr:colOff>466725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1" id="{813597EC-5031-40CE-A0EA-6FD0267E4608}">
            <xm:f>Readiness=Setup!#REF!</xm:f>
            <x14:dxf>
              <fill>
                <patternFill>
                  <bgColor rgb="FF0ADC3C"/>
                </patternFill>
              </fill>
            </x14:dxf>
          </x14:cfRule>
          <x14:cfRule type="expression" priority="82" id="{BC3FDB0E-39AE-4360-9011-174C8EF9B3B4}">
            <xm:f>Readiness=Setup!#REF!</xm:f>
            <x14:dxf>
              <fill>
                <patternFill>
                  <bgColor rgb="FFDC140A"/>
                </patternFill>
              </fill>
            </x14:dxf>
          </x14:cfRule>
          <x14:cfRule type="expression" priority="83" id="{DDCF9268-3E1A-43CD-99C0-808FCD1D9A25}">
            <xm:f>Readiness=Setup!#REF!</xm:f>
            <x14:dxf>
              <fill>
                <patternFill>
                  <bgColor rgb="FFE6FA1E"/>
                </patternFill>
              </fill>
            </x14:dxf>
          </x14:cfRule>
          <x14:cfRule type="expression" priority="84" id="{31D39041-B198-40F0-8E7F-D07D76803FAF}">
            <xm:f>Readiness=Setup!#REF!</xm:f>
            <x14:dxf>
              <font>
                <color theme="0" tint="-0.24994659260841701"/>
              </font>
              <fill>
                <patternFill>
                  <bgColor rgb="FF000064"/>
                </patternFill>
              </fill>
            </x14:dxf>
          </x14:cfRule>
          <xm:sqref>E17:E18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36BFD9-E748-4EFC-8B52-DB7ADB6C1F46}">
          <x14:formula1>
            <xm:f>Setup!$C$2:$C$5</xm:f>
          </x14:formula1>
          <xm:sqref>C17:C18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319A-AB28-492A-A1D3-B007177EB198}">
  <sheetPr codeName="Sheet6"/>
  <dimension ref="A1:AC57"/>
  <sheetViews>
    <sheetView tabSelected="1" showOutlineSymbols="0" topLeftCell="A5" zoomScale="70" zoomScaleNormal="70" workbookViewId="0">
      <selection activeCell="G5" sqref="G5"/>
    </sheetView>
  </sheetViews>
  <sheetFormatPr defaultRowHeight="15" x14ac:dyDescent="0.25"/>
  <cols>
    <col min="1" max="1" width="39.28515625" customWidth="1"/>
    <col min="2" max="2" width="28" bestFit="1" customWidth="1"/>
    <col min="5" max="5" width="26.42578125" style="2" customWidth="1"/>
    <col min="6" max="6" width="12.7109375" customWidth="1"/>
    <col min="8" max="8" width="14.5703125" customWidth="1"/>
    <col min="9" max="9" width="8.28515625" style="24" hidden="1" customWidth="1"/>
    <col min="10" max="13" width="0.5703125" style="24" customWidth="1"/>
    <col min="14" max="14" width="0.7109375" customWidth="1"/>
  </cols>
  <sheetData>
    <row r="1" spans="1:13" ht="15.75" hidden="1" x14ac:dyDescent="0.25">
      <c r="A1" s="4" t="s">
        <v>0</v>
      </c>
      <c r="B1" s="3"/>
      <c r="C1" s="3"/>
      <c r="D1" s="3"/>
      <c r="E1" s="11"/>
      <c r="F1" s="3"/>
    </row>
    <row r="2" spans="1:13" hidden="1" x14ac:dyDescent="0.25">
      <c r="A2" s="3" t="s">
        <v>1</v>
      </c>
      <c r="B2" s="3" t="s">
        <v>2</v>
      </c>
      <c r="C2" s="3"/>
      <c r="D2" s="3"/>
      <c r="E2" s="11"/>
      <c r="F2" s="3"/>
    </row>
    <row r="3" spans="1:13" hidden="1" x14ac:dyDescent="0.25">
      <c r="A3" s="3" t="s">
        <v>3</v>
      </c>
      <c r="B3" s="3">
        <v>6</v>
      </c>
      <c r="C3" s="3" t="s">
        <v>4</v>
      </c>
      <c r="D3" s="3">
        <v>5</v>
      </c>
      <c r="E3" s="11" t="s">
        <v>5</v>
      </c>
      <c r="F3" s="3">
        <v>8</v>
      </c>
    </row>
    <row r="4" spans="1:13" hidden="1" x14ac:dyDescent="0.25">
      <c r="A4" s="3" t="s">
        <v>6</v>
      </c>
      <c r="B4" s="3" t="b">
        <v>1</v>
      </c>
    </row>
    <row r="5" spans="1:13" ht="42.75" customHeight="1" x14ac:dyDescent="0.25">
      <c r="J5" s="25" t="s">
        <v>7</v>
      </c>
      <c r="K5" s="25"/>
      <c r="L5" s="25"/>
      <c r="M5" s="24">
        <v>2.5</v>
      </c>
    </row>
    <row r="6" spans="1:13" ht="18.75" x14ac:dyDescent="0.3">
      <c r="A6" s="17" t="s">
        <v>8</v>
      </c>
      <c r="B6" s="17" t="s">
        <v>9</v>
      </c>
      <c r="C6" s="17" t="s">
        <v>10</v>
      </c>
      <c r="D6" s="17" t="s">
        <v>11</v>
      </c>
      <c r="E6" s="18" t="s">
        <v>61</v>
      </c>
      <c r="F6" s="17" t="s">
        <v>92</v>
      </c>
      <c r="G6" s="17" t="s">
        <v>12</v>
      </c>
      <c r="H6" s="17" t="s">
        <v>62</v>
      </c>
      <c r="I6" s="26" t="s">
        <v>13</v>
      </c>
      <c r="J6" s="27" t="s">
        <v>14</v>
      </c>
      <c r="K6" s="27" t="s">
        <v>15</v>
      </c>
      <c r="L6" s="27" t="s">
        <v>16</v>
      </c>
      <c r="M6" s="26" t="s">
        <v>66</v>
      </c>
    </row>
    <row r="7" spans="1:13" ht="18.75" x14ac:dyDescent="0.3">
      <c r="A7" s="38" t="s">
        <v>17</v>
      </c>
      <c r="B7" s="39" t="s">
        <v>68</v>
      </c>
      <c r="C7" s="39" t="s">
        <v>18</v>
      </c>
      <c r="D7" s="19">
        <v>2</v>
      </c>
      <c r="E7" s="40" t="s">
        <v>57</v>
      </c>
      <c r="F7" s="19">
        <v>1</v>
      </c>
      <c r="G7" s="19">
        <v>310</v>
      </c>
      <c r="H7" s="19" t="s">
        <v>64</v>
      </c>
      <c r="I7" s="28" t="s">
        <v>19</v>
      </c>
      <c r="J7" s="27">
        <f t="shared" ref="J7:J47" si="0">IF(F7&lt;=2,0.5+3/2*(F7-0.5),IF(F7&gt;5,5+(F7-5)*0.2-0.5,F7+(4-F7)*0.5))</f>
        <v>1.25</v>
      </c>
      <c r="K7" s="29">
        <f>COS((90-G7)*PI()/180)*J7*stretch</f>
        <v>-3.159933327865784</v>
      </c>
      <c r="L7" s="29">
        <f>SIN((90-G7)*PI()/180)*J7*stretch</f>
        <v>2.6514988899569745</v>
      </c>
      <c r="M7" s="26">
        <f>D7*$M$5</f>
        <v>5</v>
      </c>
    </row>
    <row r="8" spans="1:13" ht="18.75" x14ac:dyDescent="0.3">
      <c r="A8" s="38" t="s">
        <v>20</v>
      </c>
      <c r="B8" s="39" t="s">
        <v>68</v>
      </c>
      <c r="C8" s="39" t="s">
        <v>21</v>
      </c>
      <c r="D8" s="19">
        <v>2</v>
      </c>
      <c r="E8" s="40" t="s">
        <v>58</v>
      </c>
      <c r="F8" s="19">
        <v>1.5</v>
      </c>
      <c r="G8" s="19">
        <v>340</v>
      </c>
      <c r="H8" s="19" t="s">
        <v>64</v>
      </c>
      <c r="I8" s="28" t="s">
        <v>19</v>
      </c>
      <c r="J8" s="27">
        <f t="shared" si="0"/>
        <v>2</v>
      </c>
      <c r="K8" s="29">
        <f>COS((90-G8)*PI()/180)*J8*stretch</f>
        <v>-2.2573329459494178</v>
      </c>
      <c r="L8" s="29">
        <f>SIN((90-G8)*PI()/180)*J8*stretch</f>
        <v>6.2019712971869936</v>
      </c>
      <c r="M8" s="26">
        <f t="shared" ref="M8:M48" si="1">D8*$M$5</f>
        <v>5</v>
      </c>
    </row>
    <row r="9" spans="1:13" ht="18.75" x14ac:dyDescent="0.3">
      <c r="A9" s="38" t="s">
        <v>22</v>
      </c>
      <c r="B9" s="39" t="s">
        <v>68</v>
      </c>
      <c r="C9" s="39" t="s">
        <v>23</v>
      </c>
      <c r="D9" s="19">
        <v>3</v>
      </c>
      <c r="E9" s="40" t="s">
        <v>55</v>
      </c>
      <c r="F9" s="19">
        <v>8</v>
      </c>
      <c r="G9" s="19">
        <v>310</v>
      </c>
      <c r="H9" s="19" t="s">
        <v>65</v>
      </c>
      <c r="I9" s="28" t="s">
        <v>19</v>
      </c>
      <c r="J9" s="27">
        <f t="shared" si="0"/>
        <v>5.0999999999999996</v>
      </c>
      <c r="K9" s="29">
        <f>COS((90-G9)*PI()/180)*J9*stretch</f>
        <v>-12.892527977692398</v>
      </c>
      <c r="L9" s="29">
        <f>SIN((90-G9)*PI()/180)*J9*stretch</f>
        <v>10.818115471024454</v>
      </c>
      <c r="M9" s="26">
        <f t="shared" si="1"/>
        <v>7.5</v>
      </c>
    </row>
    <row r="10" spans="1:13" ht="18.75" x14ac:dyDescent="0.3">
      <c r="A10" s="38" t="s">
        <v>24</v>
      </c>
      <c r="B10" s="39" t="s">
        <v>68</v>
      </c>
      <c r="C10" s="39" t="s">
        <v>23</v>
      </c>
      <c r="D10" s="19">
        <v>2</v>
      </c>
      <c r="E10" s="40" t="s">
        <v>55</v>
      </c>
      <c r="F10" s="19">
        <v>4.5</v>
      </c>
      <c r="G10" s="19">
        <v>330</v>
      </c>
      <c r="H10" s="19" t="s">
        <v>64</v>
      </c>
      <c r="I10" s="28" t="s">
        <v>25</v>
      </c>
      <c r="J10" s="27">
        <f>IF(F10&lt;=2,0.5+3/2*(F10-0.5),IF(F10&gt;5,5+(F10-5)*0.2-0.5,F10+(4-F10)*0.5))</f>
        <v>4.25</v>
      </c>
      <c r="K10" s="29">
        <f>COS((90-G10)*PI()/180)*J10*stretch</f>
        <v>-7.0125000000000055</v>
      </c>
      <c r="L10" s="29">
        <f>SIN((90-G10)*PI()/180)*J10*stretch</f>
        <v>12.146006288076746</v>
      </c>
      <c r="M10" s="26">
        <f t="shared" si="1"/>
        <v>5</v>
      </c>
    </row>
    <row r="11" spans="1:13" ht="18.75" x14ac:dyDescent="0.3">
      <c r="A11" s="42"/>
      <c r="B11" s="39"/>
      <c r="C11" s="39"/>
      <c r="D11" s="19"/>
      <c r="E11" s="40"/>
      <c r="F11" s="19"/>
      <c r="G11" s="19"/>
      <c r="H11" s="19"/>
      <c r="I11" s="28"/>
      <c r="J11" s="27">
        <f t="shared" si="0"/>
        <v>-0.25</v>
      </c>
      <c r="K11" s="29">
        <f>COS((90-G11)*PI()/180)*J11*stretch</f>
        <v>-5.0537373764980575E-17</v>
      </c>
      <c r="L11" s="29">
        <f>SIN((90-G11)*PI()/180)*J11*stretch</f>
        <v>-0.82499999999999996</v>
      </c>
      <c r="M11" s="26">
        <f t="shared" si="1"/>
        <v>0</v>
      </c>
    </row>
    <row r="12" spans="1:13" ht="18.75" x14ac:dyDescent="0.3">
      <c r="A12" s="42"/>
      <c r="B12" s="39"/>
      <c r="C12" s="39"/>
      <c r="D12" s="19"/>
      <c r="E12" s="40"/>
      <c r="F12" s="19"/>
      <c r="G12" s="19"/>
      <c r="H12" s="19"/>
      <c r="I12" s="28"/>
      <c r="J12" s="27">
        <f t="shared" si="0"/>
        <v>-0.25</v>
      </c>
      <c r="K12" s="29">
        <f>COS((90-G12)*PI()/180)*J12*stretch</f>
        <v>-5.0537373764980575E-17</v>
      </c>
      <c r="L12" s="29">
        <f>SIN((90-G12)*PI()/180)*J12*stretch</f>
        <v>-0.82499999999999996</v>
      </c>
      <c r="M12" s="26">
        <f t="shared" si="1"/>
        <v>0</v>
      </c>
    </row>
    <row r="13" spans="1:13" ht="18.75" x14ac:dyDescent="0.3">
      <c r="A13" s="43" t="s">
        <v>26</v>
      </c>
      <c r="B13" s="39" t="s">
        <v>69</v>
      </c>
      <c r="C13" s="39" t="s">
        <v>18</v>
      </c>
      <c r="D13" s="40">
        <v>2</v>
      </c>
      <c r="E13" s="40" t="s">
        <v>58</v>
      </c>
      <c r="F13" s="40">
        <v>1</v>
      </c>
      <c r="G13" s="40">
        <v>10</v>
      </c>
      <c r="H13" s="19" t="s">
        <v>64</v>
      </c>
      <c r="I13" s="28" t="s">
        <v>25</v>
      </c>
      <c r="J13" s="27">
        <f t="shared" si="0"/>
        <v>1.25</v>
      </c>
      <c r="K13" s="29">
        <f>COS((90-G13)*PI()/180)*J13*stretch</f>
        <v>0.71629873287608792</v>
      </c>
      <c r="L13" s="29">
        <f>SIN((90-G13)*PI()/180)*J13*stretch</f>
        <v>4.0623319811753573</v>
      </c>
      <c r="M13" s="26">
        <f t="shared" si="1"/>
        <v>5</v>
      </c>
    </row>
    <row r="14" spans="1:13" ht="18.75" x14ac:dyDescent="0.3">
      <c r="A14" s="43" t="s">
        <v>27</v>
      </c>
      <c r="B14" s="39" t="s">
        <v>69</v>
      </c>
      <c r="C14" s="39" t="s">
        <v>21</v>
      </c>
      <c r="D14" s="40">
        <v>2</v>
      </c>
      <c r="E14" s="40" t="s">
        <v>54</v>
      </c>
      <c r="F14" s="40">
        <v>2</v>
      </c>
      <c r="G14" s="40">
        <v>20</v>
      </c>
      <c r="H14" s="19" t="s">
        <v>65</v>
      </c>
      <c r="I14" s="28" t="s">
        <v>25</v>
      </c>
      <c r="J14" s="27">
        <f t="shared" si="0"/>
        <v>2.75</v>
      </c>
      <c r="K14" s="29">
        <f>COS((90-G14)*PI()/180)*J14*stretch</f>
        <v>3.1038328006804448</v>
      </c>
      <c r="L14" s="29">
        <f>SIN((90-G14)*PI()/180)*J14*stretch</f>
        <v>8.5277105336321188</v>
      </c>
      <c r="M14" s="26">
        <f t="shared" si="1"/>
        <v>5</v>
      </c>
    </row>
    <row r="15" spans="1:13" ht="18.75" x14ac:dyDescent="0.3">
      <c r="A15" s="43" t="s">
        <v>28</v>
      </c>
      <c r="B15" s="39" t="s">
        <v>69</v>
      </c>
      <c r="C15" s="39" t="s">
        <v>18</v>
      </c>
      <c r="D15" s="40">
        <v>2</v>
      </c>
      <c r="E15" s="40" t="s">
        <v>56</v>
      </c>
      <c r="F15" s="40">
        <v>1.5</v>
      </c>
      <c r="G15" s="40">
        <v>40</v>
      </c>
      <c r="H15" s="19" t="s">
        <v>64</v>
      </c>
      <c r="I15" s="28" t="s">
        <v>25</v>
      </c>
      <c r="J15" s="27">
        <f t="shared" si="0"/>
        <v>2</v>
      </c>
      <c r="K15" s="29">
        <f>COS((90-G15)*PI()/180)*J15*stretch</f>
        <v>4.2423982239311595</v>
      </c>
      <c r="L15" s="29">
        <f>SIN((90-G15)*PI()/180)*J15*stretch</f>
        <v>5.0558933245852549</v>
      </c>
      <c r="M15" s="26">
        <f t="shared" si="1"/>
        <v>5</v>
      </c>
    </row>
    <row r="16" spans="1:13" ht="18.75" x14ac:dyDescent="0.3">
      <c r="A16" s="43" t="s">
        <v>29</v>
      </c>
      <c r="B16" s="39" t="s">
        <v>69</v>
      </c>
      <c r="C16" s="39" t="s">
        <v>21</v>
      </c>
      <c r="D16" s="40">
        <v>2</v>
      </c>
      <c r="E16" s="40" t="s">
        <v>60</v>
      </c>
      <c r="F16" s="40">
        <v>1.5</v>
      </c>
      <c r="G16" s="40">
        <v>55</v>
      </c>
      <c r="H16" s="19" t="s">
        <v>64</v>
      </c>
      <c r="I16" s="28" t="s">
        <v>25</v>
      </c>
      <c r="J16" s="27">
        <f t="shared" si="0"/>
        <v>2</v>
      </c>
      <c r="K16" s="29">
        <f>COS((90-G16)*PI()/180)*J16*stretch</f>
        <v>5.4064034923073452</v>
      </c>
      <c r="L16" s="29">
        <f>SIN((90-G16)*PI()/180)*J16*stretch</f>
        <v>3.7856044799169037</v>
      </c>
      <c r="M16" s="26">
        <f t="shared" si="1"/>
        <v>5</v>
      </c>
    </row>
    <row r="17" spans="1:25" ht="18.75" x14ac:dyDescent="0.3">
      <c r="A17" s="42"/>
      <c r="B17" s="39"/>
      <c r="C17" s="39"/>
      <c r="D17" s="40"/>
      <c r="E17" s="40"/>
      <c r="F17" s="40"/>
      <c r="G17" s="40"/>
      <c r="H17" s="19"/>
      <c r="I17" s="28"/>
      <c r="J17" s="27">
        <f t="shared" si="0"/>
        <v>-0.25</v>
      </c>
      <c r="K17" s="29">
        <f>COS((90-G17)*PI()/180)*J17*stretch</f>
        <v>-5.0537373764980575E-17</v>
      </c>
      <c r="L17" s="29">
        <f>SIN((90-G17)*PI()/180)*J17*stretch</f>
        <v>-0.82499999999999996</v>
      </c>
      <c r="M17" s="26">
        <f t="shared" si="1"/>
        <v>0</v>
      </c>
    </row>
    <row r="18" spans="1:25" ht="18.75" x14ac:dyDescent="0.3">
      <c r="A18" s="42"/>
      <c r="B18" s="39"/>
      <c r="C18" s="39"/>
      <c r="D18" s="40"/>
      <c r="E18" s="40"/>
      <c r="F18" s="40"/>
      <c r="G18" s="40"/>
      <c r="H18" s="19"/>
      <c r="I18" s="28"/>
      <c r="J18" s="27">
        <f t="shared" si="0"/>
        <v>-0.25</v>
      </c>
      <c r="K18" s="29">
        <f>COS((90-G18)*PI()/180)*J18*stretch</f>
        <v>-5.0537373764980575E-17</v>
      </c>
      <c r="L18" s="29">
        <f>SIN((90-G18)*PI()/180)*J18*stretch</f>
        <v>-0.82499999999999996</v>
      </c>
      <c r="M18" s="26">
        <f t="shared" si="1"/>
        <v>0</v>
      </c>
    </row>
    <row r="19" spans="1:25" ht="18.75" x14ac:dyDescent="0.3">
      <c r="A19" s="44" t="s">
        <v>30</v>
      </c>
      <c r="B19" s="39" t="s">
        <v>31</v>
      </c>
      <c r="C19" s="39" t="s">
        <v>21</v>
      </c>
      <c r="D19" s="40">
        <v>3</v>
      </c>
      <c r="E19" s="40" t="s">
        <v>54</v>
      </c>
      <c r="F19" s="40">
        <v>4</v>
      </c>
      <c r="G19" s="40">
        <v>110</v>
      </c>
      <c r="H19" s="19" t="s">
        <v>64</v>
      </c>
      <c r="I19" s="28" t="s">
        <v>25</v>
      </c>
      <c r="J19" s="27">
        <f t="shared" si="0"/>
        <v>4</v>
      </c>
      <c r="K19" s="29">
        <f>COS((90-G19)*PI()/180)*J19*stretch</f>
        <v>12.403942594373991</v>
      </c>
      <c r="L19" s="29">
        <f>SIN((90-G19)*PI()/180)*J19*stretch</f>
        <v>-4.5146658918988267</v>
      </c>
      <c r="M19" s="26">
        <f t="shared" si="1"/>
        <v>7.5</v>
      </c>
    </row>
    <row r="20" spans="1:25" ht="18.75" x14ac:dyDescent="0.3">
      <c r="A20" s="77" t="s">
        <v>32</v>
      </c>
      <c r="B20" s="39" t="s">
        <v>33</v>
      </c>
      <c r="C20" s="39" t="s">
        <v>18</v>
      </c>
      <c r="D20" s="40">
        <v>5</v>
      </c>
      <c r="E20" s="19" t="s">
        <v>60</v>
      </c>
      <c r="F20" s="40">
        <v>1</v>
      </c>
      <c r="G20" s="40">
        <v>160</v>
      </c>
      <c r="H20" s="19" t="s">
        <v>64</v>
      </c>
      <c r="I20" s="30"/>
      <c r="J20" s="27">
        <f>IF(F20&lt;=2,0.5+3/2*(F20-0.5),IF(F20&gt;5,5+(F20-5)*0.2-0.5,F20+(4-F20)*0.5))</f>
        <v>1.25</v>
      </c>
      <c r="K20" s="29">
        <f>COS((90-G20)*PI()/180)*J20*stretch</f>
        <v>1.410833091218384</v>
      </c>
      <c r="L20" s="29">
        <f>SIN((90-G20)*PI()/180)*J20*stretch</f>
        <v>-3.8762320607418719</v>
      </c>
      <c r="M20" s="26">
        <f>D20*$M$5</f>
        <v>12.5</v>
      </c>
    </row>
    <row r="21" spans="1:25" ht="18.75" x14ac:dyDescent="0.3">
      <c r="A21" s="42"/>
      <c r="B21" s="39"/>
      <c r="C21" s="39"/>
      <c r="D21" s="40"/>
      <c r="E21" s="19"/>
      <c r="F21" s="40"/>
      <c r="G21" s="40"/>
      <c r="H21" s="19"/>
      <c r="I21" s="30" t="s">
        <v>34</v>
      </c>
      <c r="J21" s="27">
        <f>IF(F21&lt;=2,0.5+3/2*(F21-0.5),IF(F21&gt;5,5+(F21-5)*0.2-0.5,F21+(4-F21)*0.5))</f>
        <v>-0.25</v>
      </c>
      <c r="K21" s="29">
        <f>COS((90-G21)*PI()/180)*J21*stretch</f>
        <v>-5.0537373764980575E-17</v>
      </c>
      <c r="L21" s="29">
        <f>SIN((90-G21)*PI()/180)*J21*stretch</f>
        <v>-0.82499999999999996</v>
      </c>
      <c r="M21" s="26">
        <f>D21*$M$5</f>
        <v>0</v>
      </c>
    </row>
    <row r="22" spans="1:25" ht="18.75" x14ac:dyDescent="0.3">
      <c r="A22" s="45" t="s">
        <v>35</v>
      </c>
      <c r="B22" s="46" t="s">
        <v>76</v>
      </c>
      <c r="C22" s="39" t="s">
        <v>21</v>
      </c>
      <c r="D22" s="40">
        <v>2</v>
      </c>
      <c r="E22" s="19" t="s">
        <v>55</v>
      </c>
      <c r="F22" s="40">
        <v>2</v>
      </c>
      <c r="G22" s="40">
        <v>200</v>
      </c>
      <c r="H22" s="19" t="s">
        <v>64</v>
      </c>
      <c r="I22" s="30"/>
      <c r="J22" s="27">
        <f t="shared" si="0"/>
        <v>2.75</v>
      </c>
      <c r="K22" s="29">
        <f>COS((90-G22)*PI()/180)*J22*stretch</f>
        <v>-3.1038328006804434</v>
      </c>
      <c r="L22" s="29">
        <f>SIN((90-G22)*PI()/180)*J22*stretch</f>
        <v>-8.5277105336321188</v>
      </c>
      <c r="M22" s="26">
        <f t="shared" si="1"/>
        <v>5</v>
      </c>
    </row>
    <row r="23" spans="1:25" ht="18.75" x14ac:dyDescent="0.3">
      <c r="A23" s="45" t="s">
        <v>36</v>
      </c>
      <c r="B23" s="46" t="s">
        <v>76</v>
      </c>
      <c r="C23" s="39" t="s">
        <v>21</v>
      </c>
      <c r="D23" s="40">
        <v>2</v>
      </c>
      <c r="E23" s="19" t="s">
        <v>54</v>
      </c>
      <c r="F23" s="40">
        <v>2</v>
      </c>
      <c r="G23" s="40">
        <v>220</v>
      </c>
      <c r="H23" s="19" t="s">
        <v>64</v>
      </c>
      <c r="I23" s="30"/>
      <c r="J23" s="27">
        <f t="shared" si="0"/>
        <v>2.75</v>
      </c>
      <c r="K23" s="29">
        <f>COS((90-G23)*PI()/180)*J23*stretch</f>
        <v>-5.8332975579053441</v>
      </c>
      <c r="L23" s="29">
        <f>SIN((90-G23)*PI()/180)*J23*stretch</f>
        <v>-6.9518533213047249</v>
      </c>
      <c r="M23" s="26">
        <f t="shared" si="1"/>
        <v>5</v>
      </c>
    </row>
    <row r="24" spans="1:25" ht="18.75" x14ac:dyDescent="0.3">
      <c r="A24" s="42"/>
      <c r="B24" s="39"/>
      <c r="C24" s="39"/>
      <c r="D24" s="40"/>
      <c r="E24" s="19"/>
      <c r="F24" s="40"/>
      <c r="G24" s="40"/>
      <c r="H24" s="19"/>
      <c r="I24" s="30"/>
      <c r="J24" s="27">
        <f t="shared" si="0"/>
        <v>-0.25</v>
      </c>
      <c r="K24" s="29">
        <f>COS((90-G24)*PI()/180)*J24*stretch</f>
        <v>-5.0537373764980575E-17</v>
      </c>
      <c r="L24" s="29">
        <f>SIN((90-G24)*PI()/180)*J24*stretch</f>
        <v>-0.82499999999999996</v>
      </c>
      <c r="M24" s="26">
        <f t="shared" si="1"/>
        <v>0</v>
      </c>
    </row>
    <row r="25" spans="1:25" ht="18.75" x14ac:dyDescent="0.3">
      <c r="A25" s="47" t="s">
        <v>37</v>
      </c>
      <c r="B25" s="46" t="s">
        <v>77</v>
      </c>
      <c r="C25" s="39" t="s">
        <v>23</v>
      </c>
      <c r="D25" s="40">
        <v>2</v>
      </c>
      <c r="E25" s="19" t="s">
        <v>54</v>
      </c>
      <c r="F25" s="40">
        <v>7</v>
      </c>
      <c r="G25" s="40">
        <v>250</v>
      </c>
      <c r="H25" s="19" t="s">
        <v>65</v>
      </c>
      <c r="I25" s="30"/>
      <c r="J25" s="27">
        <f t="shared" ref="J25" si="2">IF(F25&lt;=2,0.5+3/2*(F25-0.5),IF(F25&gt;5,5+(F25-5)*0.2-0.5,F25+(4-F25)*0.5))</f>
        <v>4.9000000000000004</v>
      </c>
      <c r="K25" s="29">
        <f>COS((90-G25)*PI()/180)*J25*stretch</f>
        <v>-15.194829678108139</v>
      </c>
      <c r="L25" s="29">
        <f>SIN((90-G25)*PI()/180)*J25*stretch</f>
        <v>-5.5304657175760656</v>
      </c>
      <c r="M25" s="26">
        <f t="shared" si="1"/>
        <v>5</v>
      </c>
    </row>
    <row r="26" spans="1:25" ht="18.75" x14ac:dyDescent="0.3">
      <c r="A26" s="47" t="s">
        <v>39</v>
      </c>
      <c r="B26" s="46" t="s">
        <v>77</v>
      </c>
      <c r="C26" s="39" t="s">
        <v>18</v>
      </c>
      <c r="D26" s="40">
        <v>2</v>
      </c>
      <c r="E26" s="19" t="s">
        <v>55</v>
      </c>
      <c r="F26" s="40">
        <v>7</v>
      </c>
      <c r="G26" s="40">
        <v>260</v>
      </c>
      <c r="H26" s="19" t="s">
        <v>65</v>
      </c>
      <c r="I26" s="30"/>
      <c r="J26" s="27">
        <f>IF(F26&lt;=2,0.5+3/2*(F26-0.5),IF(F26&gt;5,5+(F26-5)*0.2-0.5,F26+(4-F26)*0.5))</f>
        <v>4.9000000000000004</v>
      </c>
      <c r="K26" s="29">
        <f>COS((90-G26)*PI()/180)*J26*stretch</f>
        <v>-15.924341366207404</v>
      </c>
      <c r="L26" s="29">
        <f>SIN((90-G26)*PI()/180)*J26*stretch</f>
        <v>-2.8078910328742626</v>
      </c>
      <c r="M26" s="26">
        <f t="shared" si="1"/>
        <v>5</v>
      </c>
    </row>
    <row r="27" spans="1:25" ht="18.75" x14ac:dyDescent="0.3">
      <c r="A27" s="47" t="s">
        <v>40</v>
      </c>
      <c r="B27" s="46" t="s">
        <v>77</v>
      </c>
      <c r="C27" s="39" t="s">
        <v>21</v>
      </c>
      <c r="D27" s="40">
        <v>2</v>
      </c>
      <c r="E27" s="19" t="s">
        <v>55</v>
      </c>
      <c r="F27" s="40">
        <v>7</v>
      </c>
      <c r="G27" s="40">
        <v>270</v>
      </c>
      <c r="H27" s="19" t="s">
        <v>65</v>
      </c>
      <c r="I27" s="30"/>
      <c r="J27" s="27">
        <f>IF(F25&lt;=2,0.5+3/2*(F25-0.5),IF(F25&gt;5,5+(F25-5)*0.2-0.5,F25+(4-F25)*0.5))</f>
        <v>4.9000000000000004</v>
      </c>
      <c r="K27" s="29">
        <f>COS((90-G27)*PI()/180)*J27*stretch</f>
        <v>-16.170000000000002</v>
      </c>
      <c r="L27" s="29">
        <f>SIN((90-G27)*PI()/180)*J27*stretch</f>
        <v>-1.9810650515872384E-15</v>
      </c>
      <c r="M27" s="26">
        <f t="shared" si="1"/>
        <v>5</v>
      </c>
    </row>
    <row r="28" spans="1:25" ht="18.75" x14ac:dyDescent="0.3">
      <c r="A28" s="48"/>
      <c r="B28" s="46"/>
      <c r="C28" s="39"/>
      <c r="D28" s="40"/>
      <c r="E28" s="19"/>
      <c r="F28" s="40"/>
      <c r="G28" s="40"/>
      <c r="H28" s="19"/>
      <c r="I28" s="30"/>
      <c r="J28" s="27">
        <f t="shared" si="0"/>
        <v>-0.25</v>
      </c>
      <c r="K28" s="29">
        <f>COS((90-G28)*PI()/180)*J28*stretch</f>
        <v>-5.0537373764980575E-17</v>
      </c>
      <c r="L28" s="29">
        <f>SIN((90-G28)*PI()/180)*J28*stretch</f>
        <v>-0.82499999999999996</v>
      </c>
      <c r="M28" s="26">
        <f t="shared" si="1"/>
        <v>0</v>
      </c>
    </row>
    <row r="29" spans="1:25" ht="18.75" x14ac:dyDescent="0.3">
      <c r="A29" s="42"/>
      <c r="B29" s="46"/>
      <c r="C29" s="39"/>
      <c r="D29" s="40"/>
      <c r="E29" s="19"/>
      <c r="F29" s="40"/>
      <c r="G29" s="40"/>
      <c r="H29" s="19"/>
      <c r="I29" s="30"/>
      <c r="J29" s="27">
        <f t="shared" si="0"/>
        <v>-0.25</v>
      </c>
      <c r="K29" s="29">
        <f>COS((90-G29)*PI()/180)*J29*stretch</f>
        <v>-5.0537373764980575E-17</v>
      </c>
      <c r="L29" s="29">
        <f>SIN((90-G29)*PI()/180)*J29*stretch</f>
        <v>-0.82499999999999996</v>
      </c>
      <c r="M29" s="26">
        <f t="shared" si="1"/>
        <v>0</v>
      </c>
    </row>
    <row r="30" spans="1:25" ht="18.75" x14ac:dyDescent="0.3">
      <c r="A30" s="42"/>
      <c r="B30" s="46"/>
      <c r="C30" s="39"/>
      <c r="D30" s="40"/>
      <c r="E30" s="19"/>
      <c r="F30" s="40"/>
      <c r="G30" s="40"/>
      <c r="H30" s="19"/>
      <c r="I30" s="30" t="s">
        <v>25</v>
      </c>
      <c r="J30" s="27">
        <f t="shared" si="0"/>
        <v>-0.25</v>
      </c>
      <c r="K30" s="29">
        <f>COS((90-G30)*PI()/180)*J30*stretch</f>
        <v>-5.0537373764980575E-17</v>
      </c>
      <c r="L30" s="29">
        <f>SIN((90-G30)*PI()/180)*J30*stretch</f>
        <v>-0.82499999999999996</v>
      </c>
      <c r="M30" s="26">
        <f t="shared" si="1"/>
        <v>0</v>
      </c>
      <c r="Y30" s="1"/>
    </row>
    <row r="31" spans="1:25" ht="18.75" x14ac:dyDescent="0.3">
      <c r="A31" s="42"/>
      <c r="B31" s="46"/>
      <c r="C31" s="39"/>
      <c r="D31" s="40"/>
      <c r="E31" s="19"/>
      <c r="F31" s="40"/>
      <c r="G31" s="40"/>
      <c r="H31" s="19"/>
      <c r="I31" s="30" t="s">
        <v>25</v>
      </c>
      <c r="J31" s="27">
        <f t="shared" si="0"/>
        <v>-0.25</v>
      </c>
      <c r="K31" s="29">
        <f>COS((90-G31)*PI()/180)*J31*stretch</f>
        <v>-5.0537373764980575E-17</v>
      </c>
      <c r="L31" s="29">
        <f>SIN((90-G31)*PI()/180)*J31*stretch</f>
        <v>-0.82499999999999996</v>
      </c>
      <c r="M31" s="26">
        <f t="shared" si="1"/>
        <v>0</v>
      </c>
    </row>
    <row r="32" spans="1:25" ht="18.75" x14ac:dyDescent="0.3">
      <c r="A32" s="42"/>
      <c r="B32" s="46"/>
      <c r="C32" s="39"/>
      <c r="D32" s="40"/>
      <c r="E32" s="19"/>
      <c r="F32" s="40"/>
      <c r="G32" s="40"/>
      <c r="H32" s="19"/>
      <c r="I32" s="30"/>
      <c r="J32" s="27">
        <f t="shared" si="0"/>
        <v>-0.25</v>
      </c>
      <c r="K32" s="29">
        <f>COS((90-G32)*PI()/180)*J32*stretch</f>
        <v>-5.0537373764980575E-17</v>
      </c>
      <c r="L32" s="29">
        <f>SIN((90-G32)*PI()/180)*J32*stretch</f>
        <v>-0.82499999999999996</v>
      </c>
      <c r="M32" s="26">
        <f t="shared" si="1"/>
        <v>0</v>
      </c>
      <c r="Y32" s="1"/>
    </row>
    <row r="33" spans="1:29" ht="18.75" x14ac:dyDescent="0.3">
      <c r="A33" s="42"/>
      <c r="B33" s="46"/>
      <c r="C33" s="39"/>
      <c r="D33" s="40"/>
      <c r="E33" s="19"/>
      <c r="F33" s="40"/>
      <c r="G33" s="40"/>
      <c r="H33" s="19"/>
      <c r="I33" s="30"/>
      <c r="J33" s="27">
        <f t="shared" si="0"/>
        <v>-0.25</v>
      </c>
      <c r="K33" s="29">
        <f>COS((90-G33)*PI()/180)*J33*stretch</f>
        <v>-5.0537373764980575E-17</v>
      </c>
      <c r="L33" s="29">
        <f>SIN((90-G33)*PI()/180)*J33*stretch</f>
        <v>-0.82499999999999996</v>
      </c>
      <c r="M33" s="26">
        <f t="shared" si="1"/>
        <v>0</v>
      </c>
    </row>
    <row r="34" spans="1:29" ht="18.75" x14ac:dyDescent="0.3">
      <c r="A34" s="42"/>
      <c r="B34" s="46"/>
      <c r="C34" s="39"/>
      <c r="D34" s="40"/>
      <c r="E34" s="19"/>
      <c r="F34" s="40"/>
      <c r="G34" s="40"/>
      <c r="H34" s="19"/>
      <c r="I34" s="30"/>
      <c r="J34" s="27">
        <f t="shared" si="0"/>
        <v>-0.25</v>
      </c>
      <c r="K34" s="29">
        <f>COS((90-G34)*PI()/180)*J34*stretch</f>
        <v>-5.0537373764980575E-17</v>
      </c>
      <c r="L34" s="29">
        <f>SIN((90-G34)*PI()/180)*J34*stretch</f>
        <v>-0.82499999999999996</v>
      </c>
      <c r="M34" s="26">
        <f t="shared" si="1"/>
        <v>0</v>
      </c>
    </row>
    <row r="35" spans="1:29" ht="18.75" x14ac:dyDescent="0.3">
      <c r="A35" s="42"/>
      <c r="B35" s="46"/>
      <c r="C35" s="39"/>
      <c r="D35" s="40"/>
      <c r="E35" s="19"/>
      <c r="F35" s="40"/>
      <c r="G35" s="40"/>
      <c r="H35" s="19"/>
      <c r="I35" s="30"/>
      <c r="J35" s="27">
        <f>IF(F35&lt;=2,0.5+3/2*(F35-0.5),IF(F35&gt;5,5+(F35-5)*0.2-0.5,F35+(4-F35)*0.5))</f>
        <v>-0.25</v>
      </c>
      <c r="K35" s="29">
        <f>COS((90-G35)*PI()/180)*J35*stretch</f>
        <v>-5.0537373764980575E-17</v>
      </c>
      <c r="L35" s="29">
        <f>SIN((90-G35)*PI()/180)*J35*stretch</f>
        <v>-0.82499999999999996</v>
      </c>
      <c r="M35" s="26">
        <f t="shared" si="1"/>
        <v>0</v>
      </c>
    </row>
    <row r="36" spans="1:29" ht="18.75" x14ac:dyDescent="0.3">
      <c r="A36" s="42"/>
      <c r="B36" s="46"/>
      <c r="C36" s="39"/>
      <c r="D36" s="40"/>
      <c r="E36" s="19"/>
      <c r="F36" s="40"/>
      <c r="G36" s="40"/>
      <c r="H36" s="19"/>
      <c r="I36" s="30" t="s">
        <v>25</v>
      </c>
      <c r="J36" s="27">
        <f t="shared" si="0"/>
        <v>-0.25</v>
      </c>
      <c r="K36" s="29">
        <f>COS((90-G36)*PI()/180)*J36*stretch</f>
        <v>-5.0537373764980575E-17</v>
      </c>
      <c r="L36" s="29">
        <f>SIN((90-G36)*PI()/180)*J36*stretch</f>
        <v>-0.82499999999999996</v>
      </c>
      <c r="M36" s="26">
        <f t="shared" si="1"/>
        <v>0</v>
      </c>
    </row>
    <row r="37" spans="1:29" ht="18.75" x14ac:dyDescent="0.3">
      <c r="A37" s="42"/>
      <c r="B37" s="46"/>
      <c r="C37" s="39"/>
      <c r="D37" s="40"/>
      <c r="E37" s="19"/>
      <c r="F37" s="40"/>
      <c r="G37" s="40"/>
      <c r="H37" s="19"/>
      <c r="I37" s="30" t="s">
        <v>19</v>
      </c>
      <c r="J37" s="27">
        <f t="shared" si="0"/>
        <v>-0.25</v>
      </c>
      <c r="K37" s="29">
        <f>COS((90-G37)*PI()/180)*J37*stretch</f>
        <v>-5.0537373764980575E-17</v>
      </c>
      <c r="L37" s="29">
        <f>SIN((90-G37)*PI()/180)*J37*stretch</f>
        <v>-0.82499999999999996</v>
      </c>
      <c r="M37" s="26">
        <f t="shared" si="1"/>
        <v>0</v>
      </c>
    </row>
    <row r="38" spans="1:29" ht="18.75" x14ac:dyDescent="0.3">
      <c r="A38" s="56"/>
      <c r="B38" s="57"/>
      <c r="C38" s="58"/>
      <c r="D38" s="59"/>
      <c r="E38" s="60"/>
      <c r="F38" s="59"/>
      <c r="G38" s="59"/>
      <c r="H38" s="60"/>
      <c r="I38" s="30" t="s">
        <v>19</v>
      </c>
      <c r="J38" s="27">
        <f t="shared" si="0"/>
        <v>-0.25</v>
      </c>
      <c r="K38" s="29">
        <f>COS((90-G38)*PI()/180)*J38*stretch</f>
        <v>-5.0537373764980575E-17</v>
      </c>
      <c r="L38" s="29">
        <f>SIN((90-G38)*PI()/180)*J38*stretch</f>
        <v>-0.82499999999999996</v>
      </c>
      <c r="M38" s="26">
        <f t="shared" si="1"/>
        <v>0</v>
      </c>
      <c r="AC38" s="10"/>
    </row>
    <row r="39" spans="1:29" ht="15.75" x14ac:dyDescent="0.25">
      <c r="A39" s="49"/>
      <c r="B39" s="50"/>
      <c r="C39" s="50"/>
      <c r="D39" s="51"/>
      <c r="E39" s="5"/>
      <c r="F39" s="51"/>
      <c r="G39" s="51"/>
      <c r="H39" s="5"/>
      <c r="I39" s="71"/>
      <c r="J39" s="72" t="e">
        <f>IF(#REF!&lt;=2,0.5+3/2*(#REF!-0.5),IF(#REF!&gt;5,5+(#REF!-5)*0.2-0.5,#REF!+(4-#REF!)*0.5))</f>
        <v>#REF!</v>
      </c>
      <c r="K39" s="61" t="e">
        <f>COS((90-G39)*PI()/180)*J39*stretch</f>
        <v>#REF!</v>
      </c>
      <c r="L39" s="61" t="e">
        <f>SIN((90-G39)*PI()/180)*J39*stretch</f>
        <v>#REF!</v>
      </c>
      <c r="M39" s="62">
        <f t="shared" si="1"/>
        <v>0</v>
      </c>
      <c r="N39" s="63"/>
      <c r="O39" s="63"/>
    </row>
    <row r="40" spans="1:29" ht="15.75" x14ac:dyDescent="0.25">
      <c r="A40" s="49"/>
      <c r="B40" s="52"/>
      <c r="C40" s="52"/>
      <c r="D40" s="53"/>
      <c r="E40" s="41"/>
      <c r="F40" s="53"/>
      <c r="G40" s="53"/>
      <c r="H40" s="41"/>
      <c r="I40" s="73"/>
      <c r="J40" s="72" t="e">
        <f>IF(#REF!&lt;=2,0.5+3/2*(#REF!-0.5),IF(#REF!&gt;5,5+(#REF!-5)*0.2-0.5,#REF!+(4-#REF!)*0.5))</f>
        <v>#REF!</v>
      </c>
      <c r="K40" s="61" t="e">
        <f>COS((90-G40)*PI()/180)*J40*stretch</f>
        <v>#REF!</v>
      </c>
      <c r="L40" s="61" t="e">
        <f>SIN((90-G40)*PI()/180)*J40*stretch</f>
        <v>#REF!</v>
      </c>
      <c r="M40" s="62">
        <f t="shared" si="1"/>
        <v>0</v>
      </c>
      <c r="N40" s="63"/>
      <c r="O40" s="63"/>
    </row>
    <row r="41" spans="1:29" ht="15.75" x14ac:dyDescent="0.25">
      <c r="A41" s="54"/>
      <c r="B41" s="52"/>
      <c r="C41" s="55"/>
      <c r="D41" s="53"/>
      <c r="E41" s="41"/>
      <c r="F41" s="53"/>
      <c r="G41" s="53"/>
      <c r="H41" s="41"/>
      <c r="I41" s="71"/>
      <c r="J41" s="72">
        <f t="shared" si="0"/>
        <v>-0.25</v>
      </c>
      <c r="K41" s="61">
        <f>COS((90-G41)*PI()/180)*J41*stretch</f>
        <v>-5.0537373764980575E-17</v>
      </c>
      <c r="L41" s="61">
        <f>SIN((90-G41)*PI()/180)*J41*stretch</f>
        <v>-0.82499999999999996</v>
      </c>
      <c r="M41" s="62">
        <f t="shared" si="1"/>
        <v>0</v>
      </c>
      <c r="N41" s="63"/>
      <c r="O41" s="63"/>
    </row>
    <row r="42" spans="1:29" ht="15.75" x14ac:dyDescent="0.25">
      <c r="A42" s="54"/>
      <c r="B42" s="52"/>
      <c r="C42" s="55"/>
      <c r="D42" s="53"/>
      <c r="E42" s="41"/>
      <c r="F42" s="53"/>
      <c r="G42" s="53"/>
      <c r="H42" s="41"/>
      <c r="I42" s="71"/>
      <c r="J42" s="72">
        <f t="shared" si="0"/>
        <v>-0.25</v>
      </c>
      <c r="K42" s="61">
        <f>COS((90-G42)*PI()/180)*J42*stretch</f>
        <v>-5.0537373764980575E-17</v>
      </c>
      <c r="L42" s="61">
        <f>SIN((90-G42)*PI()/180)*J42*stretch</f>
        <v>-0.82499999999999996</v>
      </c>
      <c r="M42" s="62">
        <f t="shared" si="1"/>
        <v>0</v>
      </c>
      <c r="N42" s="63"/>
      <c r="O42" s="63"/>
    </row>
    <row r="43" spans="1:29" ht="15.75" x14ac:dyDescent="0.25">
      <c r="A43" s="54"/>
      <c r="B43" s="52"/>
      <c r="C43" s="55"/>
      <c r="D43" s="53"/>
      <c r="E43" s="41"/>
      <c r="F43" s="53"/>
      <c r="G43" s="53"/>
      <c r="H43" s="41"/>
      <c r="I43" s="71"/>
      <c r="J43" s="72">
        <f t="shared" si="0"/>
        <v>-0.25</v>
      </c>
      <c r="K43" s="61">
        <f>COS((90-G43)*PI()/180)*J43*stretch</f>
        <v>-5.0537373764980575E-17</v>
      </c>
      <c r="L43" s="61">
        <f>SIN((90-G43)*PI()/180)*J43*stretch</f>
        <v>-0.82499999999999996</v>
      </c>
      <c r="M43" s="62">
        <f t="shared" si="1"/>
        <v>0</v>
      </c>
      <c r="N43" s="63"/>
      <c r="O43" s="63"/>
    </row>
    <row r="44" spans="1:29" ht="15.75" x14ac:dyDescent="0.25">
      <c r="A44" s="54"/>
      <c r="B44" s="55"/>
      <c r="C44" s="55"/>
      <c r="D44" s="41"/>
      <c r="E44" s="74"/>
      <c r="F44" s="41"/>
      <c r="G44" s="41"/>
      <c r="H44" s="41"/>
      <c r="I44" s="75"/>
      <c r="J44" s="72">
        <f t="shared" si="0"/>
        <v>-0.25</v>
      </c>
      <c r="K44" s="61">
        <f>COS((90-G44)*PI()/180)*J44*stretch</f>
        <v>-5.0537373764980575E-17</v>
      </c>
      <c r="L44" s="61">
        <f>SIN((90-G44)*PI()/180)*J44*stretch</f>
        <v>-0.82499999999999996</v>
      </c>
      <c r="M44" s="62">
        <f t="shared" si="1"/>
        <v>0</v>
      </c>
      <c r="N44" s="63"/>
      <c r="O44" s="63"/>
    </row>
    <row r="45" spans="1:29" ht="15.75" x14ac:dyDescent="0.25">
      <c r="A45" s="54"/>
      <c r="B45" s="52"/>
      <c r="C45" s="55"/>
      <c r="D45" s="53"/>
      <c r="E45" s="41"/>
      <c r="F45" s="53"/>
      <c r="G45" s="53"/>
      <c r="H45" s="41"/>
      <c r="I45" s="75"/>
      <c r="J45" s="72">
        <f t="shared" si="0"/>
        <v>-0.25</v>
      </c>
      <c r="K45" s="61">
        <f>COS((90-G45)*PI()/180)*J45*stretch</f>
        <v>-5.0537373764980575E-17</v>
      </c>
      <c r="L45" s="61">
        <f>SIN((90-G45)*PI()/180)*J45*stretch</f>
        <v>-0.82499999999999996</v>
      </c>
      <c r="M45" s="62">
        <f t="shared" si="1"/>
        <v>0</v>
      </c>
      <c r="N45" s="63"/>
      <c r="O45" s="63"/>
    </row>
    <row r="46" spans="1:29" ht="15.75" x14ac:dyDescent="0.25">
      <c r="A46" s="54"/>
      <c r="B46" s="52"/>
      <c r="C46" s="55"/>
      <c r="D46" s="53"/>
      <c r="E46" s="41"/>
      <c r="F46" s="53"/>
      <c r="G46" s="53"/>
      <c r="H46" s="41"/>
      <c r="I46" s="75"/>
      <c r="J46" s="72">
        <f t="shared" si="0"/>
        <v>-0.25</v>
      </c>
      <c r="K46" s="61">
        <f>COS((90-G46)*PI()/180)*J46*stretch</f>
        <v>-5.0537373764980575E-17</v>
      </c>
      <c r="L46" s="61">
        <f>SIN((90-G46)*PI()/180)*J46*stretch</f>
        <v>-0.82499999999999996</v>
      </c>
      <c r="M46" s="62">
        <f t="shared" si="1"/>
        <v>0</v>
      </c>
      <c r="N46" s="63"/>
      <c r="O46" s="63"/>
    </row>
    <row r="47" spans="1:29" ht="15.75" x14ac:dyDescent="0.25">
      <c r="A47" s="54"/>
      <c r="B47" s="52"/>
      <c r="C47" s="55"/>
      <c r="D47" s="53"/>
      <c r="E47" s="41"/>
      <c r="F47" s="53"/>
      <c r="G47" s="53"/>
      <c r="H47" s="41"/>
      <c r="I47" s="75"/>
      <c r="J47" s="72">
        <f t="shared" si="0"/>
        <v>-0.25</v>
      </c>
      <c r="K47" s="61">
        <f>COS((90-G47)*PI()/180)*J47*stretch</f>
        <v>-5.0537373764980575E-17</v>
      </c>
      <c r="L47" s="61">
        <f>SIN((90-G47)*PI()/180)*J47*stretch</f>
        <v>-0.82499999999999996</v>
      </c>
      <c r="M47" s="62">
        <f t="shared" si="1"/>
        <v>0</v>
      </c>
      <c r="N47" s="63"/>
      <c r="O47" s="63"/>
    </row>
    <row r="48" spans="1:29" ht="15.75" x14ac:dyDescent="0.25">
      <c r="A48" s="76"/>
      <c r="B48" s="52"/>
      <c r="C48" s="55"/>
      <c r="D48" s="53"/>
      <c r="E48" s="41"/>
      <c r="F48" s="53"/>
      <c r="G48" s="53"/>
      <c r="H48" s="41"/>
      <c r="I48" s="71"/>
      <c r="J48" s="72"/>
      <c r="K48" s="61"/>
      <c r="L48" s="61"/>
      <c r="M48" s="62">
        <f t="shared" si="1"/>
        <v>0</v>
      </c>
      <c r="N48" s="63"/>
      <c r="O48" s="63"/>
    </row>
    <row r="49" spans="1:15" x14ac:dyDescent="0.25">
      <c r="A49" s="64"/>
      <c r="B49" s="63"/>
      <c r="C49" s="63"/>
      <c r="D49" s="65">
        <v>200</v>
      </c>
      <c r="E49" s="66"/>
      <c r="F49" s="65">
        <v>3.3</v>
      </c>
      <c r="G49" s="63"/>
      <c r="H49" s="67"/>
      <c r="I49" s="68"/>
      <c r="J49" s="69"/>
      <c r="K49" s="69">
        <v>-20</v>
      </c>
      <c r="L49" s="69">
        <v>-20</v>
      </c>
      <c r="M49" s="70"/>
      <c r="N49" s="63"/>
      <c r="O49" s="63"/>
    </row>
    <row r="56" spans="1:15" x14ac:dyDescent="0.25">
      <c r="M56" s="31"/>
    </row>
    <row r="57" spans="1:15" x14ac:dyDescent="0.25">
      <c r="M57" s="31"/>
    </row>
  </sheetData>
  <dataValidations count="4">
    <dataValidation showInputMessage="1" showErrorMessage="1" sqref="I41:I48 I7:I38" xr:uid="{4009DABC-2A5E-46DA-AC27-3A2B520ABED5}"/>
    <dataValidation type="list" allowBlank="1" showInputMessage="1" showErrorMessage="1" sqref="E7:E48" xr:uid="{48E772A9-F9F0-481F-B1D5-8B1C616DDCB9}">
      <formula1>Stage_Gate_Status</formula1>
    </dataValidation>
    <dataValidation type="list" allowBlank="1" showInputMessage="1" showErrorMessage="1" sqref="H7:H48" xr:uid="{115591BD-9C95-4958-9C3F-999A24A881F5}">
      <formula1>Active_Working</formula1>
    </dataValidation>
    <dataValidation type="list" allowBlank="1" showInputMessage="1" showErrorMessage="1" sqref="B7:B48" xr:uid="{0A1C2615-DCFC-4564-B8A9-31F3A64F95FC}">
      <formula1>Use_Case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0" r:id="rId4" name="Button 26">
              <controlPr defaultSize="0" print="0" autoFill="0" autoPict="0" macro="[0]!CustomizeBullseyeChart">
                <anchor moveWithCells="1" sizeWithCells="1">
                  <from>
                    <xdr:col>3</xdr:col>
                    <xdr:colOff>581025</xdr:colOff>
                    <xdr:row>0</xdr:row>
                    <xdr:rowOff>0</xdr:rowOff>
                  </from>
                  <to>
                    <xdr:col>4</xdr:col>
                    <xdr:colOff>1438275</xdr:colOff>
                    <xdr:row>4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194A11E0-CC3A-4C84-8D1A-9BBDB81A4DD1}">
            <xm:f>Readiness=Setup!#REF!</xm:f>
            <x14:dxf>
              <fill>
                <patternFill>
                  <bgColor rgb="FF0ADC3C"/>
                </patternFill>
              </fill>
            </x14:dxf>
          </x14:cfRule>
          <x14:cfRule type="expression" priority="86" id="{B1B7F949-DE68-42DB-BC57-A0B2C19DC07C}">
            <xm:f>Readiness=Setup!#REF!</xm:f>
            <x14:dxf>
              <fill>
                <patternFill>
                  <bgColor rgb="FFDC140A"/>
                </patternFill>
              </fill>
            </x14:dxf>
          </x14:cfRule>
          <x14:cfRule type="expression" priority="87" id="{F4B57CCA-76AF-4D0F-8AF7-93530B748B58}">
            <xm:f>Readiness=Setup!#REF!</xm:f>
            <x14:dxf>
              <fill>
                <patternFill>
                  <bgColor rgb="FFE6FA1E"/>
                </patternFill>
              </fill>
            </x14:dxf>
          </x14:cfRule>
          <x14:cfRule type="expression" priority="88" id="{02F5866C-98CB-492F-BAEF-6B93049D781A}">
            <xm:f>Readiness=Setup!#REF!</xm:f>
            <x14:dxf>
              <font>
                <color theme="0" tint="-0.24994659260841701"/>
              </font>
              <fill>
                <patternFill>
                  <bgColor rgb="FF000064"/>
                </patternFill>
              </fill>
            </x14:dxf>
          </x14:cfRule>
          <xm:sqref>E49:F49 E7:E48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F7A7EA8-E933-45F4-BB0C-35B2BC2C8344}">
          <x14:formula1>
            <xm:f>Setup!$F$2:$F$3</xm:f>
          </x14:formula1>
          <xm:sqref>H49:I49</xm:sqref>
        </x14:dataValidation>
        <x14:dataValidation type="list" allowBlank="1" showInputMessage="1" showErrorMessage="1" xr:uid="{03DE95D7-4CC5-4F3B-97C5-A39917D4B687}">
          <x14:formula1>
            <xm:f>Setup!$H$2:$H$3</xm:f>
          </x14:formula1>
          <xm:sqref>B4</xm:sqref>
        </x14:dataValidation>
        <x14:dataValidation type="list" allowBlank="1" showInputMessage="1" showErrorMessage="1" xr:uid="{D0F81844-30C2-454F-B0A3-7143CC95860C}">
          <x14:formula1>
            <xm:f>Setup!$C$2:$C$5</xm:f>
          </x14:formula1>
          <xm:sqref>C41:C48 C7:C38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23161-9EEA-4624-834B-D8748036E4A1}">
  <sheetPr codeName="Sheet1"/>
  <dimension ref="A1:I46"/>
  <sheetViews>
    <sheetView workbookViewId="0">
      <selection activeCell="A32" sqref="A32"/>
    </sheetView>
  </sheetViews>
  <sheetFormatPr defaultColWidth="8.7109375" defaultRowHeight="15" x14ac:dyDescent="0.25"/>
  <cols>
    <col min="1" max="1" width="22.42578125" style="12" bestFit="1" customWidth="1"/>
    <col min="2" max="2" width="29.28515625" style="12" bestFit="1" customWidth="1"/>
    <col min="3" max="3" width="45.85546875" style="13" customWidth="1"/>
    <col min="4" max="4" width="12.140625" style="12" bestFit="1" customWidth="1"/>
    <col min="5" max="5" width="15.5703125" style="12" bestFit="1" customWidth="1"/>
    <col min="6" max="6" width="12.42578125" style="12" customWidth="1"/>
    <col min="7" max="7" width="9.85546875" style="12" customWidth="1"/>
    <col min="8" max="8" width="8.7109375" style="12"/>
    <col min="9" max="9" width="24" style="12" customWidth="1"/>
    <col min="10" max="16384" width="8.7109375" style="12"/>
  </cols>
  <sheetData>
    <row r="1" spans="1:9" x14ac:dyDescent="0.25">
      <c r="A1" s="14"/>
      <c r="B1" s="14"/>
      <c r="C1" s="15"/>
      <c r="D1" s="14"/>
      <c r="E1" s="14"/>
      <c r="F1" s="14"/>
      <c r="G1" s="14" t="s">
        <v>46</v>
      </c>
      <c r="H1" s="14"/>
      <c r="I1" s="14"/>
    </row>
    <row r="2" spans="1:9" x14ac:dyDescent="0.25">
      <c r="A2" s="14" t="s">
        <v>47</v>
      </c>
      <c r="B2" s="14" t="str">
        <f>xyplot!$A6</f>
        <v>Project</v>
      </c>
      <c r="C2" s="15" t="s">
        <v>48</v>
      </c>
      <c r="D2" s="14" t="str">
        <f>xyplot!$E6</f>
        <v>Stage Gate Status</v>
      </c>
      <c r="E2" s="14" t="s">
        <v>49</v>
      </c>
      <c r="F2" s="14" t="s">
        <v>50</v>
      </c>
      <c r="G2" s="14" t="s">
        <v>51</v>
      </c>
      <c r="H2" s="14" t="s">
        <v>52</v>
      </c>
      <c r="I2" s="14" t="s">
        <v>53</v>
      </c>
    </row>
    <row r="3" spans="1:9" x14ac:dyDescent="0.25">
      <c r="A3" s="12" t="str">
        <f>xyplot!$B7</f>
        <v xml:space="preserve">Digital Printing </v>
      </c>
      <c r="B3" s="12" t="str">
        <f>xyplot!$A7</f>
        <v>Nomoq</v>
      </c>
      <c r="D3" s="12" t="str">
        <f>xyplot!$E7</f>
        <v>S4 - Commissioning</v>
      </c>
    </row>
    <row r="4" spans="1:9" x14ac:dyDescent="0.25">
      <c r="A4" s="12" t="str">
        <f>xyplot!$B8</f>
        <v xml:space="preserve">Digital Printing </v>
      </c>
      <c r="B4" s="12" t="str">
        <f>xyplot!$A8</f>
        <v>Hart Print</v>
      </c>
      <c r="D4" s="12" t="str">
        <f>xyplot!$E8</f>
        <v>S5 - Commercialization</v>
      </c>
    </row>
    <row r="5" spans="1:9" x14ac:dyDescent="0.25">
      <c r="A5" s="12" t="str">
        <f>xyplot!$B9</f>
        <v xml:space="preserve">Digital Printing </v>
      </c>
      <c r="B5" s="12" t="str">
        <f>xyplot!$A9</f>
        <v>Mass Production Digital Printing</v>
      </c>
      <c r="D5" s="12" t="str">
        <f>xyplot!$E9</f>
        <v>S1 - Concept</v>
      </c>
    </row>
    <row r="6" spans="1:9" x14ac:dyDescent="0.25">
      <c r="A6" s="12" t="str">
        <f>xyplot!$B10</f>
        <v xml:space="preserve">Digital Printing </v>
      </c>
      <c r="B6" s="12" t="str">
        <f>xyplot!$A10</f>
        <v>Digitally Printed Ends</v>
      </c>
      <c r="D6" s="12" t="str">
        <f>xyplot!$E10</f>
        <v>S1 - Concept</v>
      </c>
    </row>
    <row r="7" spans="1:9" x14ac:dyDescent="0.25">
      <c r="A7" s="12">
        <f>xyplot!$B11</f>
        <v>0</v>
      </c>
      <c r="B7" s="12">
        <f>xyplot!$A11</f>
        <v>0</v>
      </c>
      <c r="D7" s="12">
        <f>xyplot!$E11</f>
        <v>0</v>
      </c>
    </row>
    <row r="8" spans="1:9" x14ac:dyDescent="0.25">
      <c r="A8" s="12">
        <f>xyplot!$B12</f>
        <v>0</v>
      </c>
      <c r="B8" s="12">
        <f>xyplot!$A12</f>
        <v>0</v>
      </c>
      <c r="D8" s="12">
        <f>xyplot!$E12</f>
        <v>0</v>
      </c>
    </row>
    <row r="9" spans="1:9" x14ac:dyDescent="0.25">
      <c r="A9" s="12" t="str">
        <f>xyplot!$B13</f>
        <v xml:space="preserve">Customized Decoration </v>
      </c>
      <c r="B9" s="12" t="str">
        <f>xyplot!$A13</f>
        <v>H!gh End</v>
      </c>
      <c r="D9" s="12" t="str">
        <f>xyplot!$E13</f>
        <v>S5 - Commercialization</v>
      </c>
    </row>
    <row r="10" spans="1:9" x14ac:dyDescent="0.25">
      <c r="A10" s="12" t="str">
        <f>xyplot!$B14</f>
        <v xml:space="preserve">Customized Decoration </v>
      </c>
      <c r="B10" s="12" t="str">
        <f>xyplot!$A14</f>
        <v>H!gh End 202 CDL+</v>
      </c>
      <c r="D10" s="12" t="str">
        <f>xyplot!$E14</f>
        <v>Ideation</v>
      </c>
    </row>
    <row r="11" spans="1:9" x14ac:dyDescent="0.25">
      <c r="A11" s="12" t="str">
        <f>xyplot!$B15</f>
        <v xml:space="preserve">Customized Decoration </v>
      </c>
      <c r="B11" s="12" t="str">
        <f>xyplot!$A15</f>
        <v>LadyBug</v>
      </c>
      <c r="D11" s="12" t="str">
        <f>xyplot!$E15</f>
        <v>S2 - Design</v>
      </c>
    </row>
    <row r="12" spans="1:9" x14ac:dyDescent="0.25">
      <c r="A12" s="12" t="str">
        <f>xyplot!$B16</f>
        <v xml:space="preserve">Customized Decoration </v>
      </c>
      <c r="B12" s="12" t="str">
        <f>xyplot!$A16</f>
        <v>Laminated Ends</v>
      </c>
      <c r="D12" s="12" t="str">
        <f>xyplot!$E16</f>
        <v>S3 - Prototyping</v>
      </c>
    </row>
    <row r="13" spans="1:9" x14ac:dyDescent="0.25">
      <c r="A13" s="12">
        <f>xyplot!$B17</f>
        <v>0</v>
      </c>
      <c r="B13" s="12">
        <f>xyplot!$A17</f>
        <v>0</v>
      </c>
      <c r="D13" s="12">
        <f>xyplot!$E17</f>
        <v>0</v>
      </c>
    </row>
    <row r="14" spans="1:9" x14ac:dyDescent="0.25">
      <c r="A14" s="12">
        <f>xyplot!$B18</f>
        <v>0</v>
      </c>
      <c r="B14" s="12">
        <f>xyplot!$A18</f>
        <v>0</v>
      </c>
      <c r="D14" s="12">
        <f>xyplot!$E18</f>
        <v>0</v>
      </c>
    </row>
    <row r="15" spans="1:9" x14ac:dyDescent="0.25">
      <c r="A15" s="12" t="str">
        <f>xyplot!$B19</f>
        <v>Resealable Can (Metal)</v>
      </c>
      <c r="B15" s="12" t="str">
        <f>xyplot!$A19</f>
        <v>Canovation</v>
      </c>
      <c r="D15" s="12" t="str">
        <f>xyplot!$E19</f>
        <v>Ideation</v>
      </c>
    </row>
    <row r="16" spans="1:9" x14ac:dyDescent="0.25">
      <c r="A16" s="12" t="str">
        <f>xyplot!$B20</f>
        <v>Resealable Can (Non-metal Parts)</v>
      </c>
      <c r="B16" s="12" t="str">
        <f>xyplot!$A20</f>
        <v>Hipo</v>
      </c>
      <c r="D16" s="12" t="str">
        <f>xyplot!$E20</f>
        <v>S3 - Prototyping</v>
      </c>
    </row>
    <row r="17" spans="1:4" x14ac:dyDescent="0.25">
      <c r="A17" s="12">
        <f>xyplot!$B21</f>
        <v>0</v>
      </c>
      <c r="B17" s="12">
        <f>xyplot!$A21</f>
        <v>0</v>
      </c>
      <c r="D17" s="12">
        <f>xyplot!$E21</f>
        <v>0</v>
      </c>
    </row>
    <row r="18" spans="1:4" x14ac:dyDescent="0.25">
      <c r="A18" s="12" t="str">
        <f>xyplot!$B22</f>
        <v>New Sizes</v>
      </c>
      <c r="B18" s="12" t="str">
        <f>xyplot!$A22</f>
        <v>Slim for NA</v>
      </c>
      <c r="D18" s="12" t="str">
        <f>xyplot!$E22</f>
        <v>S1 - Concept</v>
      </c>
    </row>
    <row r="19" spans="1:4" x14ac:dyDescent="0.25">
      <c r="A19" s="12" t="str">
        <f>xyplot!$B23</f>
        <v>New Sizes</v>
      </c>
      <c r="B19" s="12" t="str">
        <f>xyplot!$A23</f>
        <v>Shot Can</v>
      </c>
      <c r="D19" s="12" t="str">
        <f>xyplot!$E23</f>
        <v>Ideation</v>
      </c>
    </row>
    <row r="20" spans="1:4" x14ac:dyDescent="0.25">
      <c r="A20" s="12">
        <f>xyplot!$B24</f>
        <v>0</v>
      </c>
      <c r="B20" s="12">
        <f>xyplot!$A24</f>
        <v>0</v>
      </c>
      <c r="D20" s="12">
        <f>xyplot!$E24</f>
        <v>0</v>
      </c>
    </row>
    <row r="21" spans="1:4" x14ac:dyDescent="0.25">
      <c r="A21" s="12" t="str">
        <f>xyplot!$B25</f>
        <v>Special Applications</v>
      </c>
      <c r="B21" s="12" t="str">
        <f>xyplot!$A27</f>
        <v>Water for Natural Disasters</v>
      </c>
      <c r="D21" s="12" t="str">
        <f>xyplot!$E25</f>
        <v>Ideation</v>
      </c>
    </row>
    <row r="22" spans="1:4" x14ac:dyDescent="0.25">
      <c r="A22" s="12">
        <f>xyplot!$B28</f>
        <v>0</v>
      </c>
      <c r="B22" s="12">
        <f>xyplot!$A28</f>
        <v>0</v>
      </c>
      <c r="D22" s="12">
        <f>xyplot!$E28</f>
        <v>0</v>
      </c>
    </row>
    <row r="23" spans="1:4" x14ac:dyDescent="0.25">
      <c r="A23" s="12">
        <f>xyplot!$B29</f>
        <v>0</v>
      </c>
      <c r="B23" s="12">
        <f>xyplot!$A29</f>
        <v>0</v>
      </c>
      <c r="D23" s="12">
        <f>xyplot!$E29</f>
        <v>0</v>
      </c>
    </row>
    <row r="24" spans="1:4" x14ac:dyDescent="0.25">
      <c r="A24" s="12">
        <f>xyplot!$B30</f>
        <v>0</v>
      </c>
      <c r="B24" s="12">
        <f>xyplot!$A30</f>
        <v>0</v>
      </c>
      <c r="D24" s="12">
        <f>xyplot!$E30</f>
        <v>0</v>
      </c>
    </row>
    <row r="25" spans="1:4" x14ac:dyDescent="0.25">
      <c r="A25" s="12">
        <f>xyplot!$B31</f>
        <v>0</v>
      </c>
      <c r="B25" s="12">
        <f>xyplot!$A31</f>
        <v>0</v>
      </c>
      <c r="D25" s="12">
        <f>xyplot!$E31</f>
        <v>0</v>
      </c>
    </row>
    <row r="26" spans="1:4" x14ac:dyDescent="0.25">
      <c r="A26" s="12">
        <f>xyplot!$B32</f>
        <v>0</v>
      </c>
      <c r="B26" s="12">
        <f>xyplot!$A32</f>
        <v>0</v>
      </c>
      <c r="D26" s="12">
        <f>xyplot!$E32</f>
        <v>0</v>
      </c>
    </row>
    <row r="27" spans="1:4" x14ac:dyDescent="0.25">
      <c r="A27" s="12">
        <f>xyplot!$B33</f>
        <v>0</v>
      </c>
      <c r="B27" s="12">
        <f>xyplot!$A33</f>
        <v>0</v>
      </c>
      <c r="D27" s="12">
        <f>xyplot!$E33</f>
        <v>0</v>
      </c>
    </row>
    <row r="28" spans="1:4" x14ac:dyDescent="0.25">
      <c r="A28" s="12">
        <f>xyplot!$B34</f>
        <v>0</v>
      </c>
      <c r="B28" s="12">
        <f>xyplot!$A34</f>
        <v>0</v>
      </c>
      <c r="D28" s="12">
        <f>xyplot!$E34</f>
        <v>0</v>
      </c>
    </row>
    <row r="29" spans="1:4" x14ac:dyDescent="0.25">
      <c r="A29" s="12">
        <f>xyplot!$B35</f>
        <v>0</v>
      </c>
      <c r="B29" s="12">
        <f>xyplot!$A35</f>
        <v>0</v>
      </c>
      <c r="D29" s="12">
        <f>xyplot!$E35</f>
        <v>0</v>
      </c>
    </row>
    <row r="30" spans="1:4" x14ac:dyDescent="0.25">
      <c r="A30" s="12" t="s">
        <v>38</v>
      </c>
      <c r="B30" s="12">
        <f>xyplot!$A36</f>
        <v>0</v>
      </c>
      <c r="D30" s="12">
        <f>xyplot!$E36</f>
        <v>0</v>
      </c>
    </row>
    <row r="31" spans="1:4" x14ac:dyDescent="0.25">
      <c r="A31" s="12">
        <f>xyplot!$B37</f>
        <v>0</v>
      </c>
      <c r="B31" s="12">
        <f>xyplot!$A37</f>
        <v>0</v>
      </c>
      <c r="D31" s="12">
        <f>xyplot!$E37</f>
        <v>0</v>
      </c>
    </row>
    <row r="32" spans="1:4" x14ac:dyDescent="0.25">
      <c r="A32" s="12">
        <f>xyplot!$B38</f>
        <v>0</v>
      </c>
      <c r="B32" s="12">
        <f>xyplot!$A38</f>
        <v>0</v>
      </c>
      <c r="D32" s="12">
        <f>xyplot!$E38</f>
        <v>0</v>
      </c>
    </row>
    <row r="33" spans="1:4" x14ac:dyDescent="0.25">
      <c r="A33" s="12">
        <f>xyplot!$B39</f>
        <v>0</v>
      </c>
      <c r="B33" s="12">
        <f>xyplot!$A39</f>
        <v>0</v>
      </c>
      <c r="D33" s="12">
        <f>xyplot!$E39</f>
        <v>0</v>
      </c>
    </row>
    <row r="34" spans="1:4" x14ac:dyDescent="0.25">
      <c r="A34" s="12">
        <f>xyplot!$B40</f>
        <v>0</v>
      </c>
      <c r="B34" s="12">
        <f>xyplot!$A40</f>
        <v>0</v>
      </c>
      <c r="D34" s="12">
        <f>xyplot!$E40</f>
        <v>0</v>
      </c>
    </row>
    <row r="35" spans="1:4" x14ac:dyDescent="0.25">
      <c r="A35" s="12">
        <f>xyplot!$B41</f>
        <v>0</v>
      </c>
      <c r="B35" s="12">
        <f>xyplot!$A41</f>
        <v>0</v>
      </c>
      <c r="D35" s="12">
        <f>xyplot!$E41</f>
        <v>0</v>
      </c>
    </row>
    <row r="36" spans="1:4" x14ac:dyDescent="0.25">
      <c r="A36" s="12">
        <f>xyplot!$B42</f>
        <v>0</v>
      </c>
      <c r="B36" s="12">
        <f>xyplot!$A42</f>
        <v>0</v>
      </c>
      <c r="D36" s="12">
        <f>xyplot!$E42</f>
        <v>0</v>
      </c>
    </row>
    <row r="37" spans="1:4" x14ac:dyDescent="0.25">
      <c r="A37" s="12">
        <f>xyplot!$B43</f>
        <v>0</v>
      </c>
      <c r="B37" s="12">
        <f>xyplot!$A43</f>
        <v>0</v>
      </c>
      <c r="D37" s="12">
        <f>xyplot!$E43</f>
        <v>0</v>
      </c>
    </row>
    <row r="38" spans="1:4" x14ac:dyDescent="0.25">
      <c r="A38" s="12">
        <f>xyplot!$B44</f>
        <v>0</v>
      </c>
      <c r="B38" s="12">
        <f>xyplot!$A44</f>
        <v>0</v>
      </c>
      <c r="D38" s="12">
        <f>xyplot!$E44</f>
        <v>0</v>
      </c>
    </row>
    <row r="39" spans="1:4" x14ac:dyDescent="0.25">
      <c r="A39" s="12">
        <f>xyplot!$B45</f>
        <v>0</v>
      </c>
      <c r="B39" s="12">
        <f>xyplot!$A45</f>
        <v>0</v>
      </c>
      <c r="D39" s="12">
        <f>xyplot!$E45</f>
        <v>0</v>
      </c>
    </row>
    <row r="40" spans="1:4" x14ac:dyDescent="0.25">
      <c r="A40" s="12">
        <f>xyplot!$B46</f>
        <v>0</v>
      </c>
      <c r="B40" s="12">
        <f>xyplot!$A46</f>
        <v>0</v>
      </c>
      <c r="D40" s="12">
        <f>xyplot!$E46</f>
        <v>0</v>
      </c>
    </row>
    <row r="41" spans="1:4" x14ac:dyDescent="0.25">
      <c r="A41" s="12">
        <f>xyplot!$B47</f>
        <v>0</v>
      </c>
      <c r="B41" s="12">
        <f>xyplot!$A47</f>
        <v>0</v>
      </c>
      <c r="D41" s="12">
        <f>xyplot!$E47</f>
        <v>0</v>
      </c>
    </row>
    <row r="42" spans="1:4" x14ac:dyDescent="0.25">
      <c r="A42" s="12">
        <f>xyplot!$B48</f>
        <v>0</v>
      </c>
      <c r="B42" s="12">
        <f>xyplot!$A48</f>
        <v>0</v>
      </c>
      <c r="D42" s="12">
        <f>xyplot!$E48</f>
        <v>0</v>
      </c>
    </row>
    <row r="43" spans="1:4" x14ac:dyDescent="0.25">
      <c r="A43" s="12">
        <f>xyplot!$B49</f>
        <v>0</v>
      </c>
      <c r="B43" s="12">
        <f>xyplot!$A49</f>
        <v>0</v>
      </c>
      <c r="D43" s="12">
        <f>xyplot!$E49</f>
        <v>0</v>
      </c>
    </row>
    <row r="44" spans="1:4" x14ac:dyDescent="0.25">
      <c r="A44" s="12">
        <f>xyplot!$B50</f>
        <v>0</v>
      </c>
      <c r="B44" s="12">
        <f>xyplot!$A49</f>
        <v>0</v>
      </c>
      <c r="D44" s="12">
        <f>xyplot!$E49</f>
        <v>0</v>
      </c>
    </row>
    <row r="45" spans="1:4" x14ac:dyDescent="0.25">
      <c r="A45" s="12">
        <f>xyplot!$B51</f>
        <v>0</v>
      </c>
      <c r="B45" s="12">
        <f>xyplot!$A50</f>
        <v>0</v>
      </c>
      <c r="D45" s="12">
        <f>xyplot!$E50</f>
        <v>0</v>
      </c>
    </row>
    <row r="46" spans="1:4" x14ac:dyDescent="0.25">
      <c r="D46" s="12">
        <f>xyplot!$E51</f>
        <v>0</v>
      </c>
    </row>
  </sheetData>
  <conditionalFormatting sqref="D2:D45">
    <cfRule type="cellIs" dxfId="3" priority="2" operator="equal">
      <formula>"Not ready"</formula>
    </cfRule>
    <cfRule type="cellIs" dxfId="2" priority="3" operator="equal">
      <formula>"Almost ready"</formula>
    </cfRule>
    <cfRule type="cellIs" dxfId="1" priority="4" operator="equal">
      <formula>"Ready"</formula>
    </cfRule>
  </conditionalFormatting>
  <conditionalFormatting sqref="D3:D45">
    <cfRule type="cellIs" dxfId="0" priority="1" operator="equal">
      <formula>"Will not act"</formula>
    </cfRule>
  </conditionalFormatting>
  <dataValidations count="1">
    <dataValidation type="list" allowBlank="1" showInputMessage="1" showErrorMessage="1" sqref="E3:E45" xr:uid="{DF64B848-6E7B-4041-8DE8-8BCFBC897618}">
      <formula1>"Incremental,Next Generation,Transformational"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CDAB62-19E6-4BAC-8AEC-C898A8D5A3E3}">
          <x14:formula1>
            <xm:f>xyplot!$E$6:$E$48</xm:f>
          </x14:formula1>
          <xm:sqref>D46:D1048576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10308-45FB-48C0-B5AA-18830309F97E}">
  <sheetPr codeName="Sheet8">
    <tabColor rgb="FFFFFF00"/>
  </sheetPr>
  <dimension ref="A1:H18"/>
  <sheetViews>
    <sheetView showOutlineSymbols="0" workbookViewId="0">
      <selection activeCell="B11" sqref="B11:F19"/>
    </sheetView>
  </sheetViews>
  <sheetFormatPr defaultRowHeight="15" x14ac:dyDescent="0.25"/>
  <cols>
    <col min="2" max="2" width="38.7109375" bestFit="1" customWidth="1"/>
    <col min="3" max="3" width="12" customWidth="1"/>
    <col min="4" max="4" width="21.5703125" bestFit="1" customWidth="1"/>
    <col min="5" max="5" width="16.7109375" customWidth="1"/>
    <col min="6" max="6" width="13.42578125" customWidth="1"/>
    <col min="8" max="8" width="21.5703125" bestFit="1" customWidth="1"/>
  </cols>
  <sheetData>
    <row r="1" spans="1:8" x14ac:dyDescent="0.25">
      <c r="A1" t="s">
        <v>12</v>
      </c>
      <c r="B1" s="1" t="s">
        <v>80</v>
      </c>
      <c r="C1" t="s">
        <v>10</v>
      </c>
      <c r="D1" s="1" t="s">
        <v>41</v>
      </c>
      <c r="E1" s="1" t="s">
        <v>11</v>
      </c>
      <c r="F1" t="s">
        <v>63</v>
      </c>
      <c r="H1" t="s">
        <v>6</v>
      </c>
    </row>
    <row r="2" spans="1:8" ht="15.75" x14ac:dyDescent="0.25">
      <c r="A2" t="s">
        <v>70</v>
      </c>
      <c r="B2" s="21" t="s">
        <v>69</v>
      </c>
      <c r="C2" s="2" t="s">
        <v>21</v>
      </c>
      <c r="D2" s="16" t="s">
        <v>54</v>
      </c>
      <c r="E2" s="2" t="s">
        <v>42</v>
      </c>
      <c r="F2" s="2" t="s">
        <v>64</v>
      </c>
      <c r="H2" t="b">
        <v>1</v>
      </c>
    </row>
    <row r="3" spans="1:8" ht="15.75" x14ac:dyDescent="0.25">
      <c r="A3" t="s">
        <v>71</v>
      </c>
      <c r="B3" s="21" t="s">
        <v>31</v>
      </c>
      <c r="C3" s="2" t="s">
        <v>18</v>
      </c>
      <c r="D3" s="16" t="s">
        <v>55</v>
      </c>
      <c r="E3" s="2" t="s">
        <v>43</v>
      </c>
      <c r="F3" s="2" t="s">
        <v>65</v>
      </c>
      <c r="H3" t="b">
        <v>0</v>
      </c>
    </row>
    <row r="4" spans="1:8" ht="15.75" x14ac:dyDescent="0.25">
      <c r="A4" t="s">
        <v>72</v>
      </c>
      <c r="B4" s="21" t="s">
        <v>33</v>
      </c>
      <c r="C4" s="2" t="s">
        <v>45</v>
      </c>
      <c r="D4" s="16" t="s">
        <v>56</v>
      </c>
      <c r="E4" s="2" t="s">
        <v>44</v>
      </c>
      <c r="F4" s="2"/>
    </row>
    <row r="5" spans="1:8" ht="15.75" x14ac:dyDescent="0.25">
      <c r="A5" t="s">
        <v>73</v>
      </c>
      <c r="B5" s="22" t="s">
        <v>76</v>
      </c>
      <c r="C5" s="2" t="s">
        <v>23</v>
      </c>
      <c r="D5" s="16" t="s">
        <v>60</v>
      </c>
      <c r="F5" s="2"/>
    </row>
    <row r="6" spans="1:8" ht="15.75" x14ac:dyDescent="0.25">
      <c r="A6" t="s">
        <v>74</v>
      </c>
      <c r="B6" s="23" t="s">
        <v>77</v>
      </c>
      <c r="D6" s="16" t="s">
        <v>57</v>
      </c>
      <c r="F6" s="2"/>
    </row>
    <row r="7" spans="1:8" ht="15.75" x14ac:dyDescent="0.25">
      <c r="A7" t="s">
        <v>75</v>
      </c>
      <c r="B7" s="21" t="s">
        <v>68</v>
      </c>
      <c r="D7" s="16" t="s">
        <v>58</v>
      </c>
    </row>
    <row r="8" spans="1:8" s="9" customFormat="1" x14ac:dyDescent="0.25">
      <c r="D8" s="16" t="s">
        <v>59</v>
      </c>
    </row>
    <row r="11" spans="1:8" x14ac:dyDescent="0.25">
      <c r="B11" s="2"/>
    </row>
    <row r="12" spans="1:8" x14ac:dyDescent="0.25">
      <c r="B12" s="7"/>
      <c r="C12" s="8"/>
      <c r="D12" s="9"/>
      <c r="E12" s="9"/>
      <c r="F12" s="9"/>
    </row>
    <row r="13" spans="1:8" x14ac:dyDescent="0.25">
      <c r="B13" s="6"/>
    </row>
    <row r="14" spans="1:8" x14ac:dyDescent="0.25">
      <c r="B14" s="6"/>
    </row>
    <row r="16" spans="1:8" x14ac:dyDescent="0.25">
      <c r="B16" s="6"/>
    </row>
    <row r="17" spans="2:2" x14ac:dyDescent="0.25">
      <c r="B17" s="6"/>
    </row>
    <row r="18" spans="2:2" x14ac:dyDescent="0.25">
      <c r="B18" s="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9cde9c-ac36-4108-b585-770f64d6da48" xsi:nil="true"/>
    <lcf76f155ced4ddcb4097134ff3c332f xmlns="7e201976-bb24-4fa6-84cc-51b8ab33cfb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DAAAA4A6D20747BA2E08CF181DE6E8" ma:contentTypeVersion="12" ma:contentTypeDescription="Create a new document." ma:contentTypeScope="" ma:versionID="c932705e2425f34753d00fd1d37e7adb">
  <xsd:schema xmlns:xsd="http://www.w3.org/2001/XMLSchema" xmlns:xs="http://www.w3.org/2001/XMLSchema" xmlns:p="http://schemas.microsoft.com/office/2006/metadata/properties" xmlns:ns2="7e201976-bb24-4fa6-84cc-51b8ab33cfb6" xmlns:ns3="f29cde9c-ac36-4108-b585-770f64d6da48" targetNamespace="http://schemas.microsoft.com/office/2006/metadata/properties" ma:root="true" ma:fieldsID="7635773d9f85d01fcc1a7af01e256fd7" ns2:_="" ns3:_="">
    <xsd:import namespace="7e201976-bb24-4fa6-84cc-51b8ab33cfb6"/>
    <xsd:import namespace="f29cde9c-ac36-4108-b585-770f64d6da48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201976-bb24-4fa6-84cc-51b8ab33cfb6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23b37464-a47e-4c07-ad0c-b60ee6b6580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cde9c-ac36-4108-b585-770f64d6da48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63348905-da86-4439-8378-3f5b23294a41}" ma:internalName="TaxCatchAll" ma:showField="CatchAllData" ma:web="f29cde9c-ac36-4108-b585-770f64d6da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ABB20F-B4D9-45BA-A18C-2796A89A7D1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2E06F0-DBFE-44B2-8275-1FC050AB880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f29cde9c-ac36-4108-b585-770f64d6da48"/>
    <ds:schemaRef ds:uri="7e201976-bb24-4fa6-84cc-51b8ab33cfb6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9E794C54-A22F-4EA4-961E-674FA78B93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201976-bb24-4fa6-84cc-51b8ab33cfb6"/>
    <ds:schemaRef ds:uri="f29cde9c-ac36-4108-b585-770f64d6da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Instructions</vt:lpstr>
      <vt:lpstr>xyplot</vt:lpstr>
      <vt:lpstr>Project Descriptions</vt:lpstr>
      <vt:lpstr>Setup</vt:lpstr>
      <vt:lpstr>Active_Working</vt:lpstr>
      <vt:lpstr>LW_percent</vt:lpstr>
      <vt:lpstr>Setup!Readiness</vt:lpstr>
      <vt:lpstr>Stage_Gate_Status</vt:lpstr>
      <vt:lpstr>stretch</vt:lpstr>
      <vt:lpstr>Use_Case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Petti, Michael</dc:creator>
  <cp:keywords/>
  <dc:description/>
  <cp:lastModifiedBy>Stone, David</cp:lastModifiedBy>
  <cp:revision/>
  <dcterms:created xsi:type="dcterms:W3CDTF">2019-08-16T15:30:00Z</dcterms:created>
  <dcterms:modified xsi:type="dcterms:W3CDTF">2024-09-26T16:14:01Z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0x010100E2DAAAA4A6D20747BA2E08CF181DE6E8</vt:lpwstr>
  </property>
  <property fmtid="{D5CDD505-2E9C-101B-9397-08002B2CF9AE}" pid="3" name="MediaServiceImageTags">
    <vt:lpwstr/>
  </property>
</Properties>
</file>